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36871EDA-B87E-4267-A92F-B634845D536A}"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2">Planning!$A$2:$F$337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B24" i="12"/>
  <c r="C23" i="12"/>
  <c r="C22" i="12"/>
  <c r="C21" i="12"/>
  <c r="C20" i="12"/>
  <c r="C19" i="12"/>
  <c r="B36" i="12"/>
  <c r="C35" i="12"/>
  <c r="C34" i="12"/>
  <c r="C33" i="12"/>
  <c r="C32" i="12"/>
  <c r="B48" i="12"/>
  <c r="C47" i="12"/>
  <c r="C46" i="12"/>
  <c r="C45" i="12"/>
  <c r="C44" i="12"/>
  <c r="C43" i="12"/>
  <c r="B60" i="12"/>
  <c r="C59" i="12"/>
  <c r="C58" i="12"/>
  <c r="C57" i="12"/>
  <c r="C56" i="12"/>
  <c r="C55" i="12"/>
  <c r="C54" i="12"/>
  <c r="B72" i="12"/>
  <c r="C71" i="12"/>
  <c r="C70" i="12"/>
  <c r="C69" i="12"/>
  <c r="C68" i="12"/>
  <c r="C67" i="12"/>
  <c r="C66" i="12"/>
  <c r="B84" i="12"/>
  <c r="C83" i="12"/>
  <c r="C82" i="12"/>
  <c r="C81" i="12"/>
  <c r="C80" i="12"/>
  <c r="B96" i="12"/>
  <c r="C95" i="12"/>
  <c r="C94" i="12"/>
  <c r="B108" i="12"/>
  <c r="C107" i="12"/>
  <c r="C106" i="12"/>
  <c r="C105" i="12"/>
  <c r="C104" i="12"/>
  <c r="C103"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318" i="12"/>
  <c r="C283" i="12"/>
  <c r="C250" i="12"/>
  <c r="C228" i="12"/>
  <c r="C199" i="12"/>
  <c r="C176" i="12"/>
  <c r="C152" i="12"/>
  <c r="C225" i="12"/>
  <c r="C201" i="12"/>
  <c r="C326" i="12"/>
  <c r="C246" i="12"/>
  <c r="C227" i="12"/>
  <c r="C205" i="12"/>
  <c r="C178" i="12"/>
  <c r="C338" i="12"/>
  <c r="C248" i="12"/>
  <c r="C162" i="12"/>
  <c r="C319" i="12"/>
  <c r="C285" i="12"/>
  <c r="C249" i="12"/>
  <c r="C223" i="12"/>
  <c r="C204" i="12"/>
  <c r="C177" i="12"/>
  <c r="C284" i="12"/>
  <c r="C180" i="12"/>
  <c r="C202" i="12"/>
  <c r="C32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192" i="12"/>
  <c r="C307" i="12"/>
  <c r="C270" i="12"/>
  <c r="C234" i="12"/>
  <c r="C212" i="12"/>
  <c r="C188" i="12"/>
  <c r="C166" i="12"/>
  <c r="C235" i="12"/>
  <c r="C258" i="12"/>
  <c r="C150" i="12"/>
  <c r="C330" i="12"/>
  <c r="C314" i="12"/>
  <c r="C278" i="12"/>
  <c r="C236" i="12"/>
  <c r="C211" i="12"/>
  <c r="C190" i="12"/>
  <c r="C164" i="12"/>
  <c r="C306" i="12"/>
  <c r="C210" i="12"/>
  <c r="C222" i="12"/>
  <c r="C163" i="12"/>
  <c r="C242" i="12"/>
  <c r="C175" i="12"/>
  <c r="C296" i="12"/>
  <c r="C261" i="12"/>
  <c r="C239" i="12"/>
  <c r="C198" i="12"/>
  <c r="C191" i="12"/>
  <c r="C170" i="12"/>
  <c r="C260" i="12"/>
  <c r="C294" i="12"/>
  <c r="C259" i="12"/>
  <c r="C238" i="12"/>
  <c r="C200" i="12"/>
  <c r="C174" i="12"/>
  <c r="C148" i="12"/>
  <c r="C156" i="12"/>
  <c r="C151" i="12"/>
  <c r="C155" i="12"/>
  <c r="C153" i="12"/>
  <c r="C125" i="12"/>
  <c r="C130" i="12"/>
  <c r="C129" i="12"/>
  <c r="C132" i="12"/>
  <c r="C114" i="12"/>
  <c r="C113" i="12"/>
  <c r="C120" i="12"/>
  <c r="C112" i="12"/>
  <c r="C102" i="12"/>
  <c r="C100" i="12"/>
  <c r="C79" i="12"/>
  <c r="C93" i="12"/>
  <c r="C77" i="12"/>
  <c r="C76" i="12"/>
  <c r="C92" i="12"/>
  <c r="C91" i="12"/>
  <c r="C90" i="12"/>
  <c r="C89" i="12"/>
  <c r="C88" i="12"/>
  <c r="C96" i="12"/>
  <c r="C154" i="12"/>
  <c r="C158" i="12"/>
  <c r="C290" i="12"/>
  <c r="C282" i="12"/>
  <c r="C302" i="12"/>
  <c r="C295" i="12"/>
  <c r="C108" i="12"/>
  <c r="C101" i="12"/>
  <c r="C84" i="12"/>
  <c r="C78" i="12"/>
  <c r="C53" i="12"/>
  <c r="C5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7" i="12"/>
  <c r="C4" i="12"/>
  <c r="C6" i="12"/>
  <c r="C12" i="12"/>
  <c r="C5" i="12"/>
  <c r="C17" i="12"/>
  <c r="C18" i="12"/>
  <c r="C16" i="12"/>
  <c r="C24" i="12"/>
  <c r="C31" i="12"/>
  <c r="C30" i="12"/>
  <c r="C29" i="12"/>
  <c r="C36" i="12"/>
  <c r="C28" i="12"/>
  <c r="C40" i="12"/>
  <c r="C41" i="12"/>
  <c r="C42" i="12"/>
  <c r="C48" i="12"/>
  <c r="C60" i="12"/>
  <c r="C64" i="12"/>
  <c r="C65" i="12"/>
  <c r="C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<sst xmlns="http://schemas.openxmlformats.org/spreadsheetml/2006/main" count="1490" uniqueCount="315">
  <si>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</si>
  <si>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</si>
  <si>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</si>
  <si>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</si>
  <si>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</si>
  <si>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</si>
  <si>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</si>
  <si>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</si>
  <si>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</si>
  <si>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</si>
  <si>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</si>
  <si>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</si>
  <si>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</si>
  <si>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</si>
  <si>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</si>
  <si>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</si>
  <si>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</si>
  <si>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</si>
  <si>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</si>
  <si>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</si>
  <si>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</si>
  <si>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</si>
  <si>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</si>
  <si>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</si>
  <si>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</si>
  <si>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</si>
  <si>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</si>
  <si>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</si>
  <si>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</si>
  <si>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</si>
  <si>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</si>
  <si>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</si>
  <si>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</si>
  <si>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</si>
  <si>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</si>
  <si>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</si>
  <si>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</si>
  <si>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</si>
  <si>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</si>
  <si>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</si>
  <si>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</si>
  <si>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</si>
  <si>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</si>
  <si>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</si>
  <si>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</si>
  <si>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</si>
  <si>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</si>
  <si>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</si>
  <si>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</si>
  <si>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</si>
  <si>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</si>
  <si>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</si>
  <si>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</si>
  <si>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</si>
  <si>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</si>
  <si>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</si>
  <si>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</si>
  <si>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</si>
  <si>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</si>
  <si>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</si>
  <si>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</si>
  <si>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</si>
  <si>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</si>
  <si>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</si>
  <si>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</si>
  <si>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</si>
  <si>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</si>
  <si>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</si>
  <si>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</si>
  <si>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</si>
  <si>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</si>
  <si>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</si>
  <si>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</si>
  <si>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</si>
  <si>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</si>
  <si>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</si>
  <si>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</si>
  <si>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</si>
  <si>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</si>
  <si>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</si>
  <si>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</si>
  <si>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</si>
  <si>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</si>
  <si>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</si>
  <si>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</si>
  <si>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</si>
  <si>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</si>
  <si>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</si>
  <si>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</si>
  <si>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</si>
  <si>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</si>
  <si>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</si>
  <si>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</si>
  <si>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</si>
  <si>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</si>
  <si>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</si>
  <si>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</si>
  <si>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</si>
  <si>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</si>
  <si>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</si>
  <si>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</si>
  <si>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</si>
  <si>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</si>
  <si>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</si>
  <si>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</si>
  <si>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</si>
  <si>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</si>
  <si>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</si>
  <si>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</si>
  <si>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</si>
  <si>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</si>
  <si>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</si>
  <si>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</si>
  <si>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</si>
  <si>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</si>
  <si>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</si>
  <si>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</si>
  <si>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</si>
  <si>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</si>
  <si>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</si>
  <si>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</si>
  <si>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</si>
  <si>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</si>
  <si>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</si>
  <si>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</si>
  <si>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</si>
  <si>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</si>
  <si>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</si>
  <si>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</si>
  <si>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</si>
  <si>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</si>
  <si>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</si>
  <si>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</si>
  <si>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</si>
  <si>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</si>
  <si>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</si>
  <si>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</si>
  <si>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</si>
  <si>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</si>
  <si>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</si>
  <si>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</si>
  <si>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</si>
  <si>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</si>
  <si>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</si>
  <si>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</si>
  <si>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</si>
  <si>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</si>
  <si>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</si>
  <si>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</si>
  <si>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</si>
  <si>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</si>
  <si>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</si>
  <si>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</si>
  <si>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</si>
  <si>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</si>
  <si>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</si>
  <si>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</si>
  <si>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</si>
  <si>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</si>
  <si>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</si>
  <si>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</si>
  <si>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</si>
  <si>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</si>
  <si>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</si>
  <si>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</si>
  <si>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</si>
  <si>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</si>
  <si>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</si>
  <si>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</si>
  <si>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</si>
  <si>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</si>
  <si>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</si>
  <si>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</si>
  <si>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</si>
  <si>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</si>
  <si>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</si>
  <si>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</si>
  <si>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</si>
  <si>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</si>
  <si>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</si>
  <si>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</si>
  <si>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</si>
  <si>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</si>
  <si>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</si>
  <si>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</si>
  <si>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</si>
  <si>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</si>
  <si>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</si>
  <si>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</si>
  <si>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</si>
  <si>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</si>
  <si>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</si>
  <si>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</si>
  <si>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</si>
  <si>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</si>
  <si>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</si>
  <si>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</si>
  <si>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</si>
  <si>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</si>
  <si>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</si>
  <si>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</si>
  <si>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</si>
  <si>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</si>
  <si>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</si>
  <si>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</si>
  <si>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</si>
  <si>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</si>
  <si>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</si>
  <si>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</si>
  <si>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</si>
  <si>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</si>
  <si>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</si>
  <si>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</si>
  <si>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</si>
  <si>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</si>
  <si>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</si>
  <si>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</si>
  <si>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</si>
  <si>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</si>
  <si>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</si>
  <si>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</si>
  <si>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</si>
  <si>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</si>
  <si>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</si>
  <si>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</si>
  <si>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</si>
  <si>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</si>
  <si>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</si>
  <si>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</si>
  <si>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</si>
  <si>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</si>
  <si>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</si>
  <si>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</si>
  <si>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</si>
  <si>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</si>
  <si>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</si>
  <si>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</si>
  <si>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</si>
  <si>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</si>
  <si>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</si>
  <si>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</si>
  <si>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</si>
  <si>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</si>
  <si>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</si>
  <si>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</si>
  <si>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</si>
  <si>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</si>
  <si>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</si>
  <si>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</si>
  <si>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</si>
  <si>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</si>
  <si>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</si>
  <si>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</si>
  <si>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</si>
  <si>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</si>
  <si>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</si>
  <si>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</si>
  <si>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</si>
  <si>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</si>
  <si>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</si>
  <si>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</si>
  <si>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</si>
  <si>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</si>
  <si>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</si>
  <si>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</si>
  <si>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</si>
  <si>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</si>
  <si>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</si>
  <si>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</si>
  <si>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</si>
  <si>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</si>
  <si>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</si>
  <si>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</si>
  <si>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</si>
  <si>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</si>
  <si>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</si>
  <si>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</si>
  <si>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</si>
  <si>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</si>
  <si>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</si>
  <si>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</si>
  <si>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Relecture, adaptation et correction du rapport suite aux modifications du projet</t>
  </si>
  <si>
    <t>Ajout des sections "Choix de l'architecture du projet", "Connexion à la base de données" et "Gestion de l'authentification".</t>
  </si>
  <si>
    <t>Bilan de la séquence : J'ai décidé de laisser l'aspect technique du site en l'état le temps de bien finaliser le rapport car le délai final approche. Je reviendrai sur le code pour de l'optimisation si le temps le permet.</t>
  </si>
  <si>
    <t>Réalisation d'une requête SQL permettant de récupérer l'utilisateur via son login</t>
  </si>
  <si>
    <t>Réalisation d'une requête SQL permettant de récupérer l'utilisateur via son email</t>
  </si>
  <si>
    <t>Implémentation du code permettant d'empêcher qu'un utilisateur crée un compte avec un login ou email déjà existant</t>
  </si>
  <si>
    <t>Implémentation du code permettant de retourner les valeurs entrées par un utilisateur dans les champs des formulaires en cas d'erreurs lors de la validation.</t>
  </si>
  <si>
    <t>Ajout et complétion de la section "Gestion de l'authentification et gestion des rôles".</t>
  </si>
  <si>
    <t>Correction de la requête SQL getAllCards afin de bien effectuer le changement de statut de disponibilité d'une carte lorsque l'achat a été confirmé par l'utilisateur.</t>
  </si>
  <si>
    <t>Réalisation de tests pour réaliser un achat du début à la fin par un utilisateur.</t>
  </si>
  <si>
    <t>Finition de la section "Gestion de l'authentification et gestion des rôles" et ajout de la section " Créer un compte".</t>
  </si>
  <si>
    <t>Bilan de la séquence : J'ai optimisé le code de sorte à ce que tous les points techniques soient au moins fonctionnels. La rédaction du rapport est longue et il n'est pas toujours simple de savoir ce qui "évident" et ce qui nécessite plus d'appronfondissement.</t>
  </si>
  <si>
    <t>Bilan de la séquence : J'ai remarqué une erreur qui empêchait une carte de disparaître de la liste des cartes en vente lors de la confirmation d'achat, elle a été corrigée. Le temps restant a été consacré à la rédaction du rapport.</t>
  </si>
  <si>
    <t xml:space="preserve">Bilan de la séquence : Le rapport prend plus de temps que prévu à rédiger. J'ai décidé d'apporter moins de détails à la rédaction pour aller un peu plus vite. </t>
  </si>
  <si>
    <t>Complétion de la section créer un compte et ajout des sections : affichage des cartes en vente et filtres.</t>
  </si>
  <si>
    <t>Ajout des sections : Mise en vente d'une carte, Affichage des détails d'une carte, Modification d'une carte et supression d'une carte.</t>
  </si>
  <si>
    <t>Bilan de la séquence : Je pense manquer de temps pour tout finaliser comme je l'éspérais. Même si le travail avance bien je crains de ne pas avoir le temps de ne pas pouvoir apporter toutes les corrections souhaitées avant le rendu.</t>
  </si>
  <si>
    <t>Rédaction du fichier README indiquant la marche à suivre de l'installation de l'application.</t>
  </si>
  <si>
    <t>Ajout des sections : Système de transaction des points de crédits, Ajout d'une carte au panier, confirmation de la commande.</t>
  </si>
  <si>
    <t xml:space="preserve">Bilan de la séquence : J'essaye de faire le maximum dans le temps qu'il reste. Des petites corrections par endroits ou adaptation du code. </t>
  </si>
  <si>
    <t>Modification de la fonction updateImages et éclatement en deux méthodes distinctes afin de mieux gérer la modification d'une carte</t>
  </si>
  <si>
    <t>Ajout des sections : Création de la commande, Confirmation de la réception d'une commande</t>
  </si>
  <si>
    <t>Test de manuel d'installation par Mark Lovink</t>
  </si>
  <si>
    <t>Bilan de la séquence : La totalité de la réalisation a été rédigée dans le rapport. Il reste maintenant à rédiger les sections du rapports moins conséquentes. Le manuel d'installation a testé et fonctionne bien.</t>
  </si>
  <si>
    <t>Complétion de toutes les sections encore vide du rapport, ajout des annexes, ajout des légendes aux images</t>
  </si>
  <si>
    <t>Ajout de commentaires dans le code et correction de certains REGEX</t>
  </si>
  <si>
    <t>Bilan de la séquence : Il ne reste plus beaucoup de temps. J'ai réalisé la majorité du travail mais j'espère pouvoir faire une dernière relecture avant la fin du rapport.</t>
  </si>
  <si>
    <t>Relecture du rapport et correction de l'orthographe.</t>
  </si>
  <si>
    <t>Rendu de la version finale du TPI.</t>
  </si>
  <si>
    <t>Complétien du rapport, ajout des dernières modifications, lexique et autres.</t>
  </si>
  <si>
    <t>88h50min</t>
  </si>
  <si>
    <t>- 0h10min</t>
  </si>
  <si>
    <t>s</t>
  </si>
  <si>
    <t>Bilan de la séquence : Afin de profiter de tout le temps disponible pour finaliser le rapport, j'ai repoussé l'impression au 7.06.2023. Globalement le résultat est satisfaisant même si avec plus de temps il aurait été possible de rendre un travail plus propre. Des commentaires manquent dans le code et le rapport n'a pas pu être correctement relu.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</si>
</sst>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0" fillId="0" borderId="34"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4.0799999237060547</c:v>
              </c:pt>
              <c:pt idx="4">
                <c:v>32.419998168945313</c:v>
              </c:pt>
              <c:pt idx="5">
                <c:v>2.1700000762939453</c:v>
              </c:pt>
              <c:pt idx="6">
                <c:v>2.3299999237060547</c:v>
              </c:pt>
              <c:pt idx="7">
                <c:v>1.3300000429153442</c:v>
              </c:pt>
              <c:pt idx="8">
                <c:v>5.0799999237060547</c:v>
              </c:pt>
              <c:pt idx="9">
                <c:v>0.67000001668930054</c:v>
              </c:pt>
              <c:pt idx="10">
                <c:v>4.3299999237060547</c:v>
              </c:pt>
              <c:pt idx="11">
                <c:v>5</c:v>
              </c:pt>
              <c:pt idx="12">
                <c:v>1.25</c:v>
              </c:pt>
              <c:pt idx="13">
                <c:v>1.75</c:v>
              </c:pt>
              <c:pt idx="14">
                <c:v>1.75</c:v>
              </c:pt>
              <c:pt idx="15">
                <c:v>6.5</c:v>
              </c:pt>
              <c:pt idx="16">
                <c:v>1.75</c:v>
              </c:pt>
              <c:pt idx="17">
                <c:v>0.5</c:v>
              </c:pt>
              <c:pt idx="18">
                <c:v>0</c:v>
              </c:pt>
              <c:pt idx="19">
                <c:v>1.6699999570846558</c:v>
              </c:pt>
              <c:pt idx="20">
                <c:v>6.1700000762939453</c:v>
              </c:pt>
              <c:pt idx="21">
                <c:v>1</c:v>
              </c:pt>
              <c:pt idx="22">
                <c:v>2</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2103782"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7" t="s">
        <v>31</v>
      </c>
      <c r="C35" s="197"/>
      <c r="D35" s="19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8" t="s">
        <v>32</v>
      </c>
      <c r="C37" s="198"/>
      <c r="D37" s="198"/>
      <c r="E37" s="109" t="s">
        <v>311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312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63" zoomScale="70" zoomScaleNormal="70" zoomScaleSheetLayoutView="43" workbookViewId="0">
      <selection activeCell="F94" sqref="F94:BLU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29" t="s">
        <v>28</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25" t="str">
        <f>E96</f>
        <v>89h</v>
      </c>
      <c r="H9" s="225"/>
      <c r="I9" s="225"/>
      <c r="J9" s="225"/>
      <c r="K9" s="225"/>
      <c r="L9" s="225"/>
      <c r="M9" s="225"/>
      <c r="N9" s="225"/>
      <c r="O9" s="225"/>
      <c r="P9" s="225"/>
      <c r="Q9" s="225"/>
      <c r="R9" s="225"/>
      <c r="S9" s="225"/>
      <c r="T9" s="225"/>
      <c r="U9" s="225"/>
      <c r="V9" s="119"/>
      <c r="W9" s="224" t="s">
        <v>20</v>
      </c>
      <c r="X9" s="224"/>
      <c r="Y9" s="224"/>
      <c r="Z9" s="224"/>
      <c r="AA9" s="224"/>
      <c r="AB9" s="224"/>
      <c r="AC9" s="224"/>
      <c r="AD9" s="224"/>
      <c r="AE9" s="224"/>
      <c r="AF9" s="224"/>
      <c r="AG9" s="224"/>
      <c r="AH9" s="225" t="str">
        <f>E98</f>
        <v>88h50min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199"/>
      <c r="BJO10" s="199"/>
      <c r="BJP10" s="199"/>
      <c r="BJQ10" s="199"/>
      <c r="BJR10" s="199"/>
      <c r="BJS10" s="199"/>
      <c r="BJT10" s="199"/>
      <c r="BJU10" s="199"/>
      <c r="BJV10" s="199"/>
      <c r="BJW10" s="199"/>
      <c r="BJX10" s="199"/>
      <c r="BJY10" s="199"/>
      <c r="BJZ10" s="199"/>
      <c r="BKA10" s="199"/>
      <c r="BKB10" s="199"/>
      <c r="BKC10" s="199"/>
      <c r="BKD10" s="199"/>
      <c r="BKE10" s="199"/>
      <c r="BKF10" s="199"/>
      <c r="BKG10" s="199"/>
      <c r="BKH10" s="199"/>
      <c r="BKI10" s="199"/>
      <c r="BKJ10" s="199"/>
      <c r="BKK10" s="199"/>
      <c r="BKL10" s="199"/>
      <c r="BKM10" s="199"/>
      <c r="BKN10" s="199"/>
      <c r="BKO10" s="199"/>
      <c r="BKP10" s="199"/>
      <c r="BKQ10" s="199"/>
      <c r="BKR10" s="199"/>
      <c r="BKS10" s="199"/>
      <c r="BKT10" s="199"/>
      <c r="BKU10" s="199"/>
      <c r="BKV10" s="199"/>
      <c r="BKW10" s="199"/>
      <c r="BKX10" s="199"/>
      <c r="BKY10" s="199"/>
      <c r="BKZ10" s="199"/>
      <c r="BLA10" s="199"/>
      <c r="BLB10" s="199"/>
      <c r="BLC10" s="199"/>
      <c r="BLD10" s="199"/>
      <c r="BLE10" s="199"/>
      <c r="BLF10" s="199"/>
      <c r="BLG10" s="199"/>
      <c r="BLH10" s="199"/>
      <c r="BLI10" s="199"/>
      <c r="BLJ10" s="199"/>
      <c r="BLK10" s="199"/>
      <c r="BLL10" s="199"/>
      <c r="BLM10" s="199"/>
      <c r="BLN10" s="199"/>
      <c r="BLO10" s="199"/>
      <c r="BLP10" s="199"/>
      <c r="BLQ10" s="199"/>
      <c r="BLR10" s="199"/>
      <c r="BLS10" s="199"/>
      <c r="BLT10" s="199"/>
      <c r="BLU10" s="199"/>
      <c r="BLV10" s="90"/>
    </row>
    <row r="11" spans="1:1686" ht="20.100000000000001" customHeight="1" x14ac:dyDescent="0.25">
      <c r="B11" s="96"/>
      <c r="C11" s="227"/>
      <c r="D11" s="227"/>
      <c r="E11" s="227"/>
      <c r="F11" s="223" t="s">
        <v>41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62</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0" t="s">
        <v>62</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63</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63</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64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64</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65</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66</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66</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67</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67</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68</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69</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69</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70</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70</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71</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71</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72</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73</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73</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74</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74</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75</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75</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76</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200" t="s">
        <v>76</v>
      </c>
      <c r="BJO11" s="200"/>
      <c r="BJP11" s="200"/>
      <c r="BJQ11" s="200"/>
      <c r="BJR11" s="200"/>
      <c r="BJS11" s="200"/>
      <c r="BJT11" s="200"/>
      <c r="BJU11" s="200"/>
      <c r="BJV11" s="200"/>
      <c r="BJW11" s="200"/>
      <c r="BJX11" s="200"/>
      <c r="BJY11" s="200"/>
      <c r="BJZ11" s="200"/>
      <c r="BKA11" s="200"/>
      <c r="BKB11" s="200"/>
      <c r="BKC11" s="200"/>
      <c r="BKD11" s="200"/>
      <c r="BKE11" s="200"/>
      <c r="BKF11" s="200"/>
      <c r="BKG11" s="200"/>
      <c r="BKH11" s="200"/>
      <c r="BKI11" s="200"/>
      <c r="BKJ11" s="200"/>
      <c r="BKK11" s="200"/>
      <c r="BKL11" s="200"/>
      <c r="BKM11" s="200"/>
      <c r="BKN11" s="200"/>
      <c r="BKO11" s="200"/>
      <c r="BKP11" s="200"/>
      <c r="BKQ11" s="200"/>
      <c r="BKR11" s="200"/>
      <c r="BKS11" s="200"/>
      <c r="BKT11" s="200"/>
      <c r="BKU11" s="200"/>
      <c r="BKV11" s="200"/>
      <c r="BKW11" s="200"/>
      <c r="BKX11" s="200"/>
      <c r="BKY11" s="200"/>
      <c r="BKZ11" s="200"/>
      <c r="BLA11" s="200"/>
      <c r="BLB11" s="200"/>
      <c r="BLC11" s="200"/>
      <c r="BLD11" s="200"/>
      <c r="BLE11" s="200"/>
      <c r="BLF11" s="200"/>
      <c r="BLG11" s="200"/>
      <c r="BLH11" s="200"/>
      <c r="BLI11" s="200"/>
      <c r="BLJ11" s="200"/>
      <c r="BLK11" s="200"/>
      <c r="BLL11" s="200"/>
      <c r="BLM11" s="200"/>
      <c r="BLN11" s="200"/>
      <c r="BLO11" s="200"/>
      <c r="BLP11" s="200"/>
      <c r="BLQ11" s="200"/>
      <c r="BLR11" s="200"/>
      <c r="BLS11" s="200"/>
      <c r="BLT11" s="200"/>
      <c r="BLU11" s="200"/>
      <c r="BLV11" s="90"/>
    </row>
    <row r="12" spans="1:1686" ht="15.75" customHeight="1" thickBot="1" x14ac:dyDescent="0.3">
      <c r="B12" s="97"/>
      <c r="C12" s="228"/>
      <c r="D12" s="228"/>
      <c r="E12" s="228"/>
      <c r="F12" s="222" t="s">
        <v>61</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60</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1" t="s">
        <v>61</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60</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61</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60</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61</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61</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60</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61</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60</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61</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61</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60</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61</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60</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61</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60</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61</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61</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60</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61</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60</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61</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60</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61</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60</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201" t="s">
        <v>61</v>
      </c>
      <c r="BJO12" s="201"/>
      <c r="BJP12" s="201"/>
      <c r="BJQ12" s="201"/>
      <c r="BJR12" s="201"/>
      <c r="BJS12" s="201"/>
      <c r="BJT12" s="201"/>
      <c r="BJU12" s="201"/>
      <c r="BJV12" s="201"/>
      <c r="BJW12" s="201"/>
      <c r="BJX12" s="201"/>
      <c r="BJY12" s="201"/>
      <c r="BJZ12" s="201"/>
      <c r="BKA12" s="201"/>
      <c r="BKB12" s="201"/>
      <c r="BKC12" s="201"/>
      <c r="BKD12" s="201"/>
      <c r="BKE12" s="201"/>
      <c r="BKF12" s="201"/>
      <c r="BKG12" s="201"/>
      <c r="BKH12" s="201"/>
      <c r="BKI12" s="201"/>
      <c r="BKJ12" s="201"/>
      <c r="BKK12" s="201"/>
      <c r="BKL12" s="201"/>
      <c r="BKM12" s="201"/>
      <c r="BKN12" s="201"/>
      <c r="BKO12" s="201"/>
      <c r="BKP12" s="201"/>
      <c r="BKQ12" s="201"/>
      <c r="BKR12" s="201"/>
      <c r="BKS12" s="201"/>
      <c r="BKT12" s="201"/>
      <c r="BKU12" s="201"/>
      <c r="BKV12" s="201"/>
      <c r="BKW12" s="201"/>
      <c r="BKX12" s="201"/>
      <c r="BKY12" s="201"/>
      <c r="BKZ12" s="201"/>
      <c r="BLA12" s="201"/>
      <c r="BLB12" s="201"/>
      <c r="BLC12" s="201"/>
      <c r="BLD12" s="201"/>
      <c r="BLE12" s="201"/>
      <c r="BLF12" s="201"/>
      <c r="BLG12" s="201"/>
      <c r="BLH12" s="201"/>
      <c r="BLI12" s="201"/>
      <c r="BLJ12" s="201"/>
      <c r="BLK12" s="201"/>
      <c r="BLL12" s="201"/>
      <c r="BLM12" s="201"/>
      <c r="BLN12" s="201"/>
      <c r="BLO12" s="201"/>
      <c r="BLP12" s="201"/>
      <c r="BLQ12" s="201"/>
      <c r="BLR12" s="201"/>
      <c r="BLS12" s="201"/>
      <c r="BLT12" s="201"/>
      <c r="BLU12" s="201"/>
      <c r="BLV12" s="90"/>
    </row>
    <row r="13" spans="1:1686" ht="42.75" customHeight="1" thickBot="1" x14ac:dyDescent="0.3">
      <c r="B13" s="96"/>
      <c r="C13" s="218" t="s">
        <v>3</v>
      </c>
      <c r="D13" s="144"/>
      <c r="E13" s="220" t="s">
        <v>38</v>
      </c>
      <c r="F13" s="202" t="s">
        <v>4</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25</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16</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53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52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51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50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49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48</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47</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46</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45</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44</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43</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42</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40</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89</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88</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87</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86</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85</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84</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83</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82</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81</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80</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79</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202" t="s">
        <v>78</v>
      </c>
      <c r="BJO13" s="203"/>
      <c r="BJP13" s="203"/>
      <c r="BJQ13" s="203"/>
      <c r="BJR13" s="203"/>
      <c r="BJS13" s="203"/>
      <c r="BJT13" s="203"/>
      <c r="BJU13" s="203"/>
      <c r="BJV13" s="203"/>
      <c r="BJW13" s="203"/>
      <c r="BJX13" s="203"/>
      <c r="BJY13" s="203"/>
      <c r="BJZ13" s="203"/>
      <c r="BKA13" s="203"/>
      <c r="BKB13" s="203"/>
      <c r="BKC13" s="203"/>
      <c r="BKD13" s="203"/>
      <c r="BKE13" s="203"/>
      <c r="BKF13" s="203"/>
      <c r="BKG13" s="203"/>
      <c r="BKH13" s="203"/>
      <c r="BKI13" s="203"/>
      <c r="BKJ13" s="203"/>
      <c r="BKK13" s="203"/>
      <c r="BKL13" s="203"/>
      <c r="BKM13" s="203"/>
      <c r="BKN13" s="203"/>
      <c r="BKO13" s="203"/>
      <c r="BKP13" s="203"/>
      <c r="BKQ13" s="203"/>
      <c r="BKR13" s="203"/>
      <c r="BKS13" s="203"/>
      <c r="BKT13" s="203"/>
      <c r="BKU13" s="203"/>
      <c r="BKV13" s="203"/>
      <c r="BKW13" s="203"/>
      <c r="BKX13" s="203"/>
      <c r="BKY13" s="203"/>
      <c r="BKZ13" s="203"/>
      <c r="BLA13" s="203"/>
      <c r="BLB13" s="203"/>
      <c r="BLC13" s="203"/>
      <c r="BLD13" s="203"/>
      <c r="BLE13" s="203"/>
      <c r="BLF13" s="203"/>
      <c r="BLG13" s="203"/>
      <c r="BLH13" s="203"/>
      <c r="BLI13" s="203"/>
      <c r="BLJ13" s="203"/>
      <c r="BLK13" s="203"/>
      <c r="BLL13" s="203"/>
      <c r="BLM13" s="203"/>
      <c r="BLN13" s="203"/>
      <c r="BLO13" s="203"/>
      <c r="BLP13" s="203"/>
      <c r="BLQ13" s="203"/>
      <c r="BLR13" s="203"/>
      <c r="BLS13" s="203"/>
      <c r="BLT13" s="203"/>
      <c r="BLU13" s="204"/>
      <c r="BLV13" s="90"/>
    </row>
    <row r="14" spans="1:1686" ht="12.75" customHeight="1" thickBot="1" x14ac:dyDescent="0.35">
      <c r="B14" s="96"/>
      <c r="C14" s="219"/>
      <c r="D14" s="145"/>
      <c r="E14" s="221"/>
      <c r="F14" s="103"/>
      <c r="G14" s="104"/>
      <c r="H14" s="104"/>
      <c r="I14" s="104"/>
      <c r="J14" s="205" t="s">
        <v>33</v>
      </c>
      <c r="K14" s="205"/>
      <c r="L14" s="205"/>
      <c r="M14" s="205"/>
      <c r="N14" s="104"/>
      <c r="O14" s="104"/>
      <c r="P14" s="206" t="s">
        <v>21</v>
      </c>
      <c r="Q14" s="206"/>
      <c r="R14" s="206"/>
      <c r="S14" s="206"/>
      <c r="T14" s="129"/>
      <c r="U14" s="129"/>
      <c r="V14" s="205" t="s">
        <v>34</v>
      </c>
      <c r="W14" s="205"/>
      <c r="X14" s="205"/>
      <c r="Y14" s="205"/>
      <c r="Z14" s="104"/>
      <c r="AA14" s="104"/>
      <c r="AB14" s="206" t="s">
        <v>22</v>
      </c>
      <c r="AC14" s="206"/>
      <c r="AD14" s="206"/>
      <c r="AE14" s="206"/>
      <c r="AF14" s="129"/>
      <c r="AG14" s="129"/>
      <c r="AH14" s="205" t="s">
        <v>35</v>
      </c>
      <c r="AI14" s="205"/>
      <c r="AJ14" s="205"/>
      <c r="AK14" s="205"/>
      <c r="AL14" s="104"/>
      <c r="AM14" s="104"/>
      <c r="AN14" s="206" t="s">
        <v>23</v>
      </c>
      <c r="AO14" s="206"/>
      <c r="AP14" s="206"/>
      <c r="AQ14" s="206"/>
      <c r="AR14" s="129"/>
      <c r="AS14" s="129"/>
      <c r="AT14" s="205" t="s">
        <v>36</v>
      </c>
      <c r="AU14" s="205"/>
      <c r="AV14" s="205"/>
      <c r="AW14" s="205"/>
      <c r="AX14" s="104"/>
      <c r="AY14" s="104"/>
      <c r="AZ14" s="206" t="s">
        <v>24</v>
      </c>
      <c r="BA14" s="206"/>
      <c r="BB14" s="206"/>
      <c r="BC14" s="206"/>
      <c r="BD14" s="129"/>
      <c r="BE14" s="129"/>
      <c r="BF14" s="205" t="s">
        <v>37</v>
      </c>
      <c r="BG14" s="205"/>
      <c r="BH14" s="205"/>
      <c r="BI14" s="205"/>
      <c r="BJ14" s="104"/>
      <c r="BK14" s="104"/>
      <c r="BL14" s="104"/>
      <c r="BM14" s="105"/>
      <c r="BN14" s="103"/>
      <c r="BO14" s="104"/>
      <c r="BP14" s="104"/>
      <c r="BQ14" s="104"/>
      <c r="BR14" s="205" t="s">
        <v>33</v>
      </c>
      <c r="BS14" s="205"/>
      <c r="BT14" s="205"/>
      <c r="BU14" s="205"/>
      <c r="BV14" s="104"/>
      <c r="BW14" s="104"/>
      <c r="BX14" s="206" t="s">
        <v>21</v>
      </c>
      <c r="BY14" s="206"/>
      <c r="BZ14" s="206"/>
      <c r="CA14" s="206"/>
      <c r="CB14" s="129"/>
      <c r="CC14" s="129"/>
      <c r="CD14" s="205" t="s">
        <v>34</v>
      </c>
      <c r="CE14" s="205"/>
      <c r="CF14" s="205"/>
      <c r="CG14" s="205"/>
      <c r="CH14" s="104"/>
      <c r="CI14" s="104"/>
      <c r="CJ14" s="206" t="s">
        <v>22</v>
      </c>
      <c r="CK14" s="206"/>
      <c r="CL14" s="206"/>
      <c r="CM14" s="206"/>
      <c r="CN14" s="129"/>
      <c r="CO14" s="129"/>
      <c r="CP14" s="205" t="s">
        <v>35</v>
      </c>
      <c r="CQ14" s="205"/>
      <c r="CR14" s="205"/>
      <c r="CS14" s="205"/>
      <c r="CT14" s="104"/>
      <c r="CU14" s="104"/>
      <c r="CV14" s="206" t="s">
        <v>23</v>
      </c>
      <c r="CW14" s="206"/>
      <c r="CX14" s="206"/>
      <c r="CY14" s="206"/>
      <c r="CZ14" s="129"/>
      <c r="DA14" s="129"/>
      <c r="DB14" s="205" t="s">
        <v>36</v>
      </c>
      <c r="DC14" s="205"/>
      <c r="DD14" s="205"/>
      <c r="DE14" s="205"/>
      <c r="DF14" s="104"/>
      <c r="DG14" s="104"/>
      <c r="DH14" s="206" t="s">
        <v>24</v>
      </c>
      <c r="DI14" s="206"/>
      <c r="DJ14" s="206"/>
      <c r="DK14" s="206"/>
      <c r="DL14" s="129"/>
      <c r="DM14" s="129"/>
      <c r="DN14" s="205" t="s">
        <v>37</v>
      </c>
      <c r="DO14" s="205"/>
      <c r="DP14" s="205"/>
      <c r="DQ14" s="205"/>
      <c r="DR14" s="104"/>
      <c r="DS14" s="104"/>
      <c r="DT14" s="104"/>
      <c r="DU14" s="105"/>
      <c r="DV14" s="103"/>
      <c r="DW14" s="104"/>
      <c r="DX14" s="104"/>
      <c r="DY14" s="104"/>
      <c r="DZ14" s="205" t="s">
        <v>33</v>
      </c>
      <c r="EA14" s="205"/>
      <c r="EB14" s="205"/>
      <c r="EC14" s="205"/>
      <c r="ED14" s="104"/>
      <c r="EE14" s="104"/>
      <c r="EF14" s="206" t="s">
        <v>21</v>
      </c>
      <c r="EG14" s="206"/>
      <c r="EH14" s="206"/>
      <c r="EI14" s="206"/>
      <c r="EJ14" s="129"/>
      <c r="EK14" s="129"/>
      <c r="EL14" s="205" t="s">
        <v>34</v>
      </c>
      <c r="EM14" s="205"/>
      <c r="EN14" s="205"/>
      <c r="EO14" s="205"/>
      <c r="EP14" s="104"/>
      <c r="EQ14" s="104"/>
      <c r="ER14" s="206" t="s">
        <v>22</v>
      </c>
      <c r="ES14" s="206"/>
      <c r="ET14" s="206"/>
      <c r="EU14" s="206"/>
      <c r="EV14" s="129"/>
      <c r="EW14" s="129"/>
      <c r="EX14" s="205" t="s">
        <v>35</v>
      </c>
      <c r="EY14" s="205"/>
      <c r="EZ14" s="205"/>
      <c r="FA14" s="205"/>
      <c r="FB14" s="104"/>
      <c r="FC14" s="104"/>
      <c r="FD14" s="206" t="s">
        <v>23</v>
      </c>
      <c r="FE14" s="206"/>
      <c r="FF14" s="206"/>
      <c r="FG14" s="206"/>
      <c r="FH14" s="129"/>
      <c r="FI14" s="129"/>
      <c r="FJ14" s="205" t="s">
        <v>36</v>
      </c>
      <c r="FK14" s="205"/>
      <c r="FL14" s="205"/>
      <c r="FM14" s="205"/>
      <c r="FN14" s="104"/>
      <c r="FO14" s="104"/>
      <c r="FP14" s="206" t="s">
        <v>24</v>
      </c>
      <c r="FQ14" s="206"/>
      <c r="FR14" s="206"/>
      <c r="FS14" s="206"/>
      <c r="FT14" s="129"/>
      <c r="FU14" s="129"/>
      <c r="FV14" s="205" t="s">
        <v>37</v>
      </c>
      <c r="FW14" s="205"/>
      <c r="FX14" s="205"/>
      <c r="FY14" s="205"/>
      <c r="FZ14" s="104"/>
      <c r="GA14" s="104"/>
      <c r="GB14" s="104"/>
      <c r="GC14" s="105"/>
      <c r="GD14" s="103"/>
      <c r="GE14" s="104"/>
      <c r="GF14" s="104"/>
      <c r="GG14" s="104"/>
      <c r="GH14" s="205" t="s">
        <v>33</v>
      </c>
      <c r="GI14" s="205"/>
      <c r="GJ14" s="205"/>
      <c r="GK14" s="205"/>
      <c r="GL14" s="104"/>
      <c r="GM14" s="104"/>
      <c r="GN14" s="206" t="s">
        <v>21</v>
      </c>
      <c r="GO14" s="206"/>
      <c r="GP14" s="206"/>
      <c r="GQ14" s="206"/>
      <c r="GR14" s="129"/>
      <c r="GS14" s="129"/>
      <c r="GT14" s="205" t="s">
        <v>34</v>
      </c>
      <c r="GU14" s="205"/>
      <c r="GV14" s="205"/>
      <c r="GW14" s="205"/>
      <c r="GX14" s="104"/>
      <c r="GY14" s="104"/>
      <c r="GZ14" s="206" t="s">
        <v>22</v>
      </c>
      <c r="HA14" s="206"/>
      <c r="HB14" s="206"/>
      <c r="HC14" s="206"/>
      <c r="HD14" s="129"/>
      <c r="HE14" s="129"/>
      <c r="HF14" s="205" t="s">
        <v>35</v>
      </c>
      <c r="HG14" s="205"/>
      <c r="HH14" s="205"/>
      <c r="HI14" s="205"/>
      <c r="HJ14" s="104"/>
      <c r="HK14" s="104"/>
      <c r="HL14" s="206" t="s">
        <v>23</v>
      </c>
      <c r="HM14" s="206"/>
      <c r="HN14" s="206"/>
      <c r="HO14" s="206"/>
      <c r="HP14" s="129"/>
      <c r="HQ14" s="129"/>
      <c r="HR14" s="205" t="s">
        <v>36</v>
      </c>
      <c r="HS14" s="205"/>
      <c r="HT14" s="205"/>
      <c r="HU14" s="205"/>
      <c r="HV14" s="104"/>
      <c r="HW14" s="104"/>
      <c r="HX14" s="206" t="s">
        <v>24</v>
      </c>
      <c r="HY14" s="206"/>
      <c r="HZ14" s="206"/>
      <c r="IA14" s="206"/>
      <c r="IB14" s="129"/>
      <c r="IC14" s="129"/>
      <c r="ID14" s="205" t="s">
        <v>37</v>
      </c>
      <c r="IE14" s="205"/>
      <c r="IF14" s="205"/>
      <c r="IG14" s="205"/>
      <c r="IH14" s="104"/>
      <c r="II14" s="104"/>
      <c r="IJ14" s="104"/>
      <c r="IK14" s="105"/>
      <c r="IL14" s="103"/>
      <c r="IM14" s="104"/>
      <c r="IN14" s="104"/>
      <c r="IO14" s="104"/>
      <c r="IP14" s="205" t="s">
        <v>33</v>
      </c>
      <c r="IQ14" s="205"/>
      <c r="IR14" s="205"/>
      <c r="IS14" s="205"/>
      <c r="IT14" s="104"/>
      <c r="IU14" s="104"/>
      <c r="IV14" s="206" t="s">
        <v>21</v>
      </c>
      <c r="IW14" s="206"/>
      <c r="IX14" s="206"/>
      <c r="IY14" s="206"/>
      <c r="IZ14" s="129"/>
      <c r="JA14" s="129"/>
      <c r="JB14" s="205" t="s">
        <v>34</v>
      </c>
      <c r="JC14" s="205"/>
      <c r="JD14" s="205"/>
      <c r="JE14" s="205"/>
      <c r="JF14" s="104"/>
      <c r="JG14" s="104"/>
      <c r="JH14" s="206" t="s">
        <v>22</v>
      </c>
      <c r="JI14" s="206"/>
      <c r="JJ14" s="206"/>
      <c r="JK14" s="206"/>
      <c r="JL14" s="129"/>
      <c r="JM14" s="129"/>
      <c r="JN14" s="205" t="s">
        <v>35</v>
      </c>
      <c r="JO14" s="205"/>
      <c r="JP14" s="205"/>
      <c r="JQ14" s="205"/>
      <c r="JR14" s="104"/>
      <c r="JS14" s="104"/>
      <c r="JT14" s="206" t="s">
        <v>23</v>
      </c>
      <c r="JU14" s="206"/>
      <c r="JV14" s="206"/>
      <c r="JW14" s="206"/>
      <c r="JX14" s="129"/>
      <c r="JY14" s="129"/>
      <c r="JZ14" s="205" t="s">
        <v>36</v>
      </c>
      <c r="KA14" s="205"/>
      <c r="KB14" s="205"/>
      <c r="KC14" s="205"/>
      <c r="KD14" s="104"/>
      <c r="KE14" s="104"/>
      <c r="KF14" s="206" t="s">
        <v>24</v>
      </c>
      <c r="KG14" s="206"/>
      <c r="KH14" s="206"/>
      <c r="KI14" s="206"/>
      <c r="KJ14" s="129"/>
      <c r="KK14" s="129"/>
      <c r="KL14" s="205" t="s">
        <v>37</v>
      </c>
      <c r="KM14" s="205"/>
      <c r="KN14" s="205"/>
      <c r="KO14" s="205"/>
      <c r="KP14" s="104"/>
      <c r="KQ14" s="104"/>
      <c r="KR14" s="104"/>
      <c r="KS14" s="105"/>
      <c r="KT14" s="103"/>
      <c r="KU14" s="104"/>
      <c r="KV14" s="104"/>
      <c r="KW14" s="104"/>
      <c r="KX14" s="205" t="s">
        <v>33</v>
      </c>
      <c r="KY14" s="205"/>
      <c r="KZ14" s="205"/>
      <c r="LA14" s="205"/>
      <c r="LB14" s="104"/>
      <c r="LC14" s="104"/>
      <c r="LD14" s="206" t="s">
        <v>21</v>
      </c>
      <c r="LE14" s="206"/>
      <c r="LF14" s="206"/>
      <c r="LG14" s="206"/>
      <c r="LH14" s="129"/>
      <c r="LI14" s="129"/>
      <c r="LJ14" s="205" t="s">
        <v>34</v>
      </c>
      <c r="LK14" s="205"/>
      <c r="LL14" s="205"/>
      <c r="LM14" s="205"/>
      <c r="LN14" s="104"/>
      <c r="LO14" s="104"/>
      <c r="LP14" s="206" t="s">
        <v>22</v>
      </c>
      <c r="LQ14" s="206"/>
      <c r="LR14" s="206"/>
      <c r="LS14" s="206"/>
      <c r="LT14" s="129"/>
      <c r="LU14" s="129"/>
      <c r="LV14" s="205" t="s">
        <v>35</v>
      </c>
      <c r="LW14" s="205"/>
      <c r="LX14" s="205"/>
      <c r="LY14" s="205"/>
      <c r="LZ14" s="104"/>
      <c r="MA14" s="104"/>
      <c r="MB14" s="206" t="s">
        <v>23</v>
      </c>
      <c r="MC14" s="206"/>
      <c r="MD14" s="206"/>
      <c r="ME14" s="206"/>
      <c r="MF14" s="129"/>
      <c r="MG14" s="129"/>
      <c r="MH14" s="205" t="s">
        <v>36</v>
      </c>
      <c r="MI14" s="205"/>
      <c r="MJ14" s="205"/>
      <c r="MK14" s="205"/>
      <c r="ML14" s="104"/>
      <c r="MM14" s="104"/>
      <c r="MN14" s="206" t="s">
        <v>24</v>
      </c>
      <c r="MO14" s="206"/>
      <c r="MP14" s="206"/>
      <c r="MQ14" s="206"/>
      <c r="MR14" s="129"/>
      <c r="MS14" s="129"/>
      <c r="MT14" s="205" t="s">
        <v>37</v>
      </c>
      <c r="MU14" s="205"/>
      <c r="MV14" s="205"/>
      <c r="MW14" s="205"/>
      <c r="MX14" s="104"/>
      <c r="MY14" s="104"/>
      <c r="MZ14" s="104"/>
      <c r="NA14" s="105"/>
      <c r="NB14" s="103"/>
      <c r="NC14" s="104"/>
      <c r="ND14" s="104"/>
      <c r="NE14" s="104"/>
      <c r="NF14" s="205" t="s">
        <v>33</v>
      </c>
      <c r="NG14" s="205"/>
      <c r="NH14" s="205"/>
      <c r="NI14" s="205"/>
      <c r="NJ14" s="104"/>
      <c r="NK14" s="104"/>
      <c r="NL14" s="206" t="s">
        <v>21</v>
      </c>
      <c r="NM14" s="206"/>
      <c r="NN14" s="206"/>
      <c r="NO14" s="206"/>
      <c r="NP14" s="129"/>
      <c r="NQ14" s="129"/>
      <c r="NR14" s="205" t="s">
        <v>34</v>
      </c>
      <c r="NS14" s="205"/>
      <c r="NT14" s="205"/>
      <c r="NU14" s="205"/>
      <c r="NV14" s="104"/>
      <c r="NW14" s="104"/>
      <c r="NX14" s="206" t="s">
        <v>22</v>
      </c>
      <c r="NY14" s="206"/>
      <c r="NZ14" s="206"/>
      <c r="OA14" s="206"/>
      <c r="OB14" s="129"/>
      <c r="OC14" s="129"/>
      <c r="OD14" s="205" t="s">
        <v>35</v>
      </c>
      <c r="OE14" s="205"/>
      <c r="OF14" s="205"/>
      <c r="OG14" s="205"/>
      <c r="OH14" s="104"/>
      <c r="OI14" s="104"/>
      <c r="OJ14" s="206" t="s">
        <v>23</v>
      </c>
      <c r="OK14" s="206"/>
      <c r="OL14" s="206"/>
      <c r="OM14" s="206"/>
      <c r="ON14" s="129"/>
      <c r="OO14" s="129"/>
      <c r="OP14" s="205" t="s">
        <v>36</v>
      </c>
      <c r="OQ14" s="205"/>
      <c r="OR14" s="205"/>
      <c r="OS14" s="205"/>
      <c r="OT14" s="104"/>
      <c r="OU14" s="104"/>
      <c r="OV14" s="206" t="s">
        <v>24</v>
      </c>
      <c r="OW14" s="206"/>
      <c r="OX14" s="206"/>
      <c r="OY14" s="206"/>
      <c r="OZ14" s="129"/>
      <c r="PA14" s="129"/>
      <c r="PB14" s="205" t="s">
        <v>37</v>
      </c>
      <c r="PC14" s="205"/>
      <c r="PD14" s="205"/>
      <c r="PE14" s="205"/>
      <c r="PF14" s="104"/>
      <c r="PG14" s="104"/>
      <c r="PH14" s="104"/>
      <c r="PI14" s="105"/>
      <c r="PJ14" s="103"/>
      <c r="PK14" s="104"/>
      <c r="PL14" s="104"/>
      <c r="PM14" s="104"/>
      <c r="PN14" s="205" t="s">
        <v>33</v>
      </c>
      <c r="PO14" s="205"/>
      <c r="PP14" s="205"/>
      <c r="PQ14" s="205"/>
      <c r="PR14" s="104"/>
      <c r="PS14" s="104"/>
      <c r="PT14" s="206" t="s">
        <v>21</v>
      </c>
      <c r="PU14" s="206"/>
      <c r="PV14" s="206"/>
      <c r="PW14" s="206"/>
      <c r="PX14" s="129"/>
      <c r="PY14" s="129"/>
      <c r="PZ14" s="205" t="s">
        <v>34</v>
      </c>
      <c r="QA14" s="205"/>
      <c r="QB14" s="205"/>
      <c r="QC14" s="205"/>
      <c r="QD14" s="104"/>
      <c r="QE14" s="104"/>
      <c r="QF14" s="206" t="s">
        <v>22</v>
      </c>
      <c r="QG14" s="206"/>
      <c r="QH14" s="206"/>
      <c r="QI14" s="206"/>
      <c r="QJ14" s="129"/>
      <c r="QK14" s="129"/>
      <c r="QL14" s="205" t="s">
        <v>35</v>
      </c>
      <c r="QM14" s="205"/>
      <c r="QN14" s="205"/>
      <c r="QO14" s="205"/>
      <c r="QP14" s="104"/>
      <c r="QQ14" s="104"/>
      <c r="QR14" s="206" t="s">
        <v>23</v>
      </c>
      <c r="QS14" s="206"/>
      <c r="QT14" s="206"/>
      <c r="QU14" s="206"/>
      <c r="QV14" s="129"/>
      <c r="QW14" s="129"/>
      <c r="QX14" s="205" t="s">
        <v>36</v>
      </c>
      <c r="QY14" s="205"/>
      <c r="QZ14" s="205"/>
      <c r="RA14" s="205"/>
      <c r="RB14" s="104"/>
      <c r="RC14" s="104"/>
      <c r="RD14" s="206" t="s">
        <v>24</v>
      </c>
      <c r="RE14" s="206"/>
      <c r="RF14" s="206"/>
      <c r="RG14" s="206"/>
      <c r="RH14" s="129"/>
      <c r="RI14" s="129"/>
      <c r="RJ14" s="205" t="s">
        <v>37</v>
      </c>
      <c r="RK14" s="205"/>
      <c r="RL14" s="205"/>
      <c r="RM14" s="205"/>
      <c r="RN14" s="104"/>
      <c r="RO14" s="104"/>
      <c r="RP14" s="104"/>
      <c r="RQ14" s="105"/>
      <c r="RR14" s="103"/>
      <c r="RS14" s="104"/>
      <c r="RT14" s="104"/>
      <c r="RU14" s="104"/>
      <c r="RV14" s="205" t="s">
        <v>33</v>
      </c>
      <c r="RW14" s="205"/>
      <c r="RX14" s="205"/>
      <c r="RY14" s="205"/>
      <c r="RZ14" s="104"/>
      <c r="SA14" s="104"/>
      <c r="SB14" s="206" t="s">
        <v>21</v>
      </c>
      <c r="SC14" s="206"/>
      <c r="SD14" s="206"/>
      <c r="SE14" s="206"/>
      <c r="SF14" s="129"/>
      <c r="SG14" s="129"/>
      <c r="SH14" s="205" t="s">
        <v>34</v>
      </c>
      <c r="SI14" s="205"/>
      <c r="SJ14" s="205"/>
      <c r="SK14" s="205"/>
      <c r="SL14" s="104"/>
      <c r="SM14" s="104"/>
      <c r="SN14" s="206" t="s">
        <v>22</v>
      </c>
      <c r="SO14" s="206"/>
      <c r="SP14" s="206"/>
      <c r="SQ14" s="206"/>
      <c r="SR14" s="129"/>
      <c r="SS14" s="129"/>
      <c r="ST14" s="205" t="s">
        <v>35</v>
      </c>
      <c r="SU14" s="205"/>
      <c r="SV14" s="205"/>
      <c r="SW14" s="205"/>
      <c r="SX14" s="104"/>
      <c r="SY14" s="104"/>
      <c r="SZ14" s="206" t="s">
        <v>23</v>
      </c>
      <c r="TA14" s="206"/>
      <c r="TB14" s="206"/>
      <c r="TC14" s="206"/>
      <c r="TD14" s="129"/>
      <c r="TE14" s="129"/>
      <c r="TF14" s="205" t="s">
        <v>36</v>
      </c>
      <c r="TG14" s="205"/>
      <c r="TH14" s="205"/>
      <c r="TI14" s="205"/>
      <c r="TJ14" s="104"/>
      <c r="TK14" s="104"/>
      <c r="TL14" s="206" t="s">
        <v>24</v>
      </c>
      <c r="TM14" s="206"/>
      <c r="TN14" s="206"/>
      <c r="TO14" s="206"/>
      <c r="TP14" s="129"/>
      <c r="TQ14" s="129"/>
      <c r="TR14" s="205" t="s">
        <v>37</v>
      </c>
      <c r="TS14" s="205"/>
      <c r="TT14" s="205"/>
      <c r="TU14" s="205"/>
      <c r="TV14" s="104"/>
      <c r="TW14" s="104"/>
      <c r="TX14" s="104"/>
      <c r="TY14" s="105"/>
      <c r="TZ14" s="103"/>
      <c r="UA14" s="104"/>
      <c r="UB14" s="104"/>
      <c r="UC14" s="104"/>
      <c r="UD14" s="205" t="s">
        <v>33</v>
      </c>
      <c r="UE14" s="205"/>
      <c r="UF14" s="205"/>
      <c r="UG14" s="205"/>
      <c r="UH14" s="104"/>
      <c r="UI14" s="104"/>
      <c r="UJ14" s="206" t="s">
        <v>21</v>
      </c>
      <c r="UK14" s="206"/>
      <c r="UL14" s="206"/>
      <c r="UM14" s="206"/>
      <c r="UN14" s="129"/>
      <c r="UO14" s="129"/>
      <c r="UP14" s="205" t="s">
        <v>34</v>
      </c>
      <c r="UQ14" s="205"/>
      <c r="UR14" s="205"/>
      <c r="US14" s="205"/>
      <c r="UT14" s="104"/>
      <c r="UU14" s="104"/>
      <c r="UV14" s="206" t="s">
        <v>22</v>
      </c>
      <c r="UW14" s="206"/>
      <c r="UX14" s="206"/>
      <c r="UY14" s="206"/>
      <c r="UZ14" s="129"/>
      <c r="VA14" s="129"/>
      <c r="VB14" s="205" t="s">
        <v>35</v>
      </c>
      <c r="VC14" s="205"/>
      <c r="VD14" s="205"/>
      <c r="VE14" s="205"/>
      <c r="VF14" s="104"/>
      <c r="VG14" s="104"/>
      <c r="VH14" s="206" t="s">
        <v>23</v>
      </c>
      <c r="VI14" s="206"/>
      <c r="VJ14" s="206"/>
      <c r="VK14" s="206"/>
      <c r="VL14" s="129"/>
      <c r="VM14" s="129"/>
      <c r="VN14" s="205" t="s">
        <v>36</v>
      </c>
      <c r="VO14" s="205"/>
      <c r="VP14" s="205"/>
      <c r="VQ14" s="205"/>
      <c r="VR14" s="104"/>
      <c r="VS14" s="104"/>
      <c r="VT14" s="206" t="s">
        <v>24</v>
      </c>
      <c r="VU14" s="206"/>
      <c r="VV14" s="206"/>
      <c r="VW14" s="206"/>
      <c r="VX14" s="129"/>
      <c r="VY14" s="129"/>
      <c r="VZ14" s="205" t="s">
        <v>37</v>
      </c>
      <c r="WA14" s="205"/>
      <c r="WB14" s="205"/>
      <c r="WC14" s="205"/>
      <c r="WD14" s="104"/>
      <c r="WE14" s="104"/>
      <c r="WF14" s="104"/>
      <c r="WG14" s="105"/>
      <c r="WH14" s="103"/>
      <c r="WI14" s="104"/>
      <c r="WJ14" s="104"/>
      <c r="WK14" s="104"/>
      <c r="WL14" s="205" t="s">
        <v>33</v>
      </c>
      <c r="WM14" s="205"/>
      <c r="WN14" s="205"/>
      <c r="WO14" s="205"/>
      <c r="WP14" s="104"/>
      <c r="WQ14" s="104"/>
      <c r="WR14" s="206" t="s">
        <v>21</v>
      </c>
      <c r="WS14" s="206"/>
      <c r="WT14" s="206"/>
      <c r="WU14" s="206"/>
      <c r="WV14" s="129"/>
      <c r="WW14" s="129"/>
      <c r="WX14" s="205" t="s">
        <v>34</v>
      </c>
      <c r="WY14" s="205"/>
      <c r="WZ14" s="205"/>
      <c r="XA14" s="205"/>
      <c r="XB14" s="104"/>
      <c r="XC14" s="104"/>
      <c r="XD14" s="206" t="s">
        <v>22</v>
      </c>
      <c r="XE14" s="206"/>
      <c r="XF14" s="206"/>
      <c r="XG14" s="206"/>
      <c r="XH14" s="129"/>
      <c r="XI14" s="129"/>
      <c r="XJ14" s="205" t="s">
        <v>35</v>
      </c>
      <c r="XK14" s="205"/>
      <c r="XL14" s="205"/>
      <c r="XM14" s="205"/>
      <c r="XN14" s="104"/>
      <c r="XO14" s="104"/>
      <c r="XP14" s="206" t="s">
        <v>23</v>
      </c>
      <c r="XQ14" s="206"/>
      <c r="XR14" s="206"/>
      <c r="XS14" s="206"/>
      <c r="XT14" s="129"/>
      <c r="XU14" s="129"/>
      <c r="XV14" s="205" t="s">
        <v>36</v>
      </c>
      <c r="XW14" s="205"/>
      <c r="XX14" s="205"/>
      <c r="XY14" s="205"/>
      <c r="XZ14" s="104"/>
      <c r="YA14" s="104"/>
      <c r="YB14" s="206" t="s">
        <v>24</v>
      </c>
      <c r="YC14" s="206"/>
      <c r="YD14" s="206"/>
      <c r="YE14" s="206"/>
      <c r="YF14" s="129"/>
      <c r="YG14" s="129"/>
      <c r="YH14" s="205" t="s">
        <v>37</v>
      </c>
      <c r="YI14" s="205"/>
      <c r="YJ14" s="205"/>
      <c r="YK14" s="205"/>
      <c r="YL14" s="104"/>
      <c r="YM14" s="104"/>
      <c r="YN14" s="104"/>
      <c r="YO14" s="105"/>
      <c r="YP14" s="103"/>
      <c r="YQ14" s="104"/>
      <c r="YR14" s="104"/>
      <c r="YS14" s="104"/>
      <c r="YT14" s="205" t="s">
        <v>33</v>
      </c>
      <c r="YU14" s="205"/>
      <c r="YV14" s="205"/>
      <c r="YW14" s="205"/>
      <c r="YX14" s="104"/>
      <c r="YY14" s="104"/>
      <c r="YZ14" s="206" t="s">
        <v>21</v>
      </c>
      <c r="ZA14" s="206"/>
      <c r="ZB14" s="206"/>
      <c r="ZC14" s="206"/>
      <c r="ZD14" s="129"/>
      <c r="ZE14" s="129"/>
      <c r="ZF14" s="205" t="s">
        <v>34</v>
      </c>
      <c r="ZG14" s="205"/>
      <c r="ZH14" s="205"/>
      <c r="ZI14" s="205"/>
      <c r="ZJ14" s="104"/>
      <c r="ZK14" s="104"/>
      <c r="ZL14" s="206" t="s">
        <v>22</v>
      </c>
      <c r="ZM14" s="206"/>
      <c r="ZN14" s="206"/>
      <c r="ZO14" s="206"/>
      <c r="ZP14" s="129"/>
      <c r="ZQ14" s="129"/>
      <c r="ZR14" s="205" t="s">
        <v>35</v>
      </c>
      <c r="ZS14" s="205"/>
      <c r="ZT14" s="205"/>
      <c r="ZU14" s="205"/>
      <c r="ZV14" s="104"/>
      <c r="ZW14" s="104"/>
      <c r="ZX14" s="206" t="s">
        <v>23</v>
      </c>
      <c r="ZY14" s="206"/>
      <c r="ZZ14" s="206"/>
      <c r="AAA14" s="206"/>
      <c r="AAB14" s="129"/>
      <c r="AAC14" s="129"/>
      <c r="AAD14" s="205" t="s">
        <v>36</v>
      </c>
      <c r="AAE14" s="205"/>
      <c r="AAF14" s="205"/>
      <c r="AAG14" s="205"/>
      <c r="AAH14" s="104"/>
      <c r="AAI14" s="104"/>
      <c r="AAJ14" s="206" t="s">
        <v>24</v>
      </c>
      <c r="AAK14" s="206"/>
      <c r="AAL14" s="206"/>
      <c r="AAM14" s="206"/>
      <c r="AAN14" s="129"/>
      <c r="AAO14" s="129"/>
      <c r="AAP14" s="205" t="s">
        <v>37</v>
      </c>
      <c r="AAQ14" s="205"/>
      <c r="AAR14" s="205"/>
      <c r="AAS14" s="205"/>
      <c r="AAT14" s="104"/>
      <c r="AAU14" s="104"/>
      <c r="AAV14" s="104"/>
      <c r="AAW14" s="105"/>
      <c r="AAX14" s="103"/>
      <c r="AAY14" s="104"/>
      <c r="AAZ14" s="104"/>
      <c r="ABA14" s="104"/>
      <c r="ABB14" s="205" t="s">
        <v>33</v>
      </c>
      <c r="ABC14" s="205"/>
      <c r="ABD14" s="205"/>
      <c r="ABE14" s="205"/>
      <c r="ABF14" s="104"/>
      <c r="ABG14" s="104"/>
      <c r="ABH14" s="206" t="s">
        <v>21</v>
      </c>
      <c r="ABI14" s="206"/>
      <c r="ABJ14" s="206"/>
      <c r="ABK14" s="206"/>
      <c r="ABL14" s="129"/>
      <c r="ABM14" s="129"/>
      <c r="ABN14" s="205" t="s">
        <v>34</v>
      </c>
      <c r="ABO14" s="205"/>
      <c r="ABP14" s="205"/>
      <c r="ABQ14" s="205"/>
      <c r="ABR14" s="104"/>
      <c r="ABS14" s="104"/>
      <c r="ABT14" s="206" t="s">
        <v>22</v>
      </c>
      <c r="ABU14" s="206"/>
      <c r="ABV14" s="206"/>
      <c r="ABW14" s="206"/>
      <c r="ABX14" s="129"/>
      <c r="ABY14" s="129"/>
      <c r="ABZ14" s="205" t="s">
        <v>35</v>
      </c>
      <c r="ACA14" s="205"/>
      <c r="ACB14" s="205"/>
      <c r="ACC14" s="205"/>
      <c r="ACD14" s="104"/>
      <c r="ACE14" s="104"/>
      <c r="ACF14" s="206" t="s">
        <v>23</v>
      </c>
      <c r="ACG14" s="206"/>
      <c r="ACH14" s="206"/>
      <c r="ACI14" s="206"/>
      <c r="ACJ14" s="129"/>
      <c r="ACK14" s="129"/>
      <c r="ACL14" s="205" t="s">
        <v>36</v>
      </c>
      <c r="ACM14" s="205"/>
      <c r="ACN14" s="205"/>
      <c r="ACO14" s="205"/>
      <c r="ACP14" s="104"/>
      <c r="ACQ14" s="104"/>
      <c r="ACR14" s="206" t="s">
        <v>24</v>
      </c>
      <c r="ACS14" s="206"/>
      <c r="ACT14" s="206"/>
      <c r="ACU14" s="206"/>
      <c r="ACV14" s="129"/>
      <c r="ACW14" s="129"/>
      <c r="ACX14" s="205" t="s">
        <v>37</v>
      </c>
      <c r="ACY14" s="205"/>
      <c r="ACZ14" s="205"/>
      <c r="ADA14" s="205"/>
      <c r="ADB14" s="104"/>
      <c r="ADC14" s="104"/>
      <c r="ADD14" s="104"/>
      <c r="ADE14" s="105"/>
      <c r="ADF14" s="103"/>
      <c r="ADG14" s="104"/>
      <c r="ADH14" s="104"/>
      <c r="ADI14" s="104"/>
      <c r="ADJ14" s="205" t="s">
        <v>33</v>
      </c>
      <c r="ADK14" s="205"/>
      <c r="ADL14" s="205"/>
      <c r="ADM14" s="205"/>
      <c r="ADN14" s="104"/>
      <c r="ADO14" s="104"/>
      <c r="ADP14" s="206" t="s">
        <v>21</v>
      </c>
      <c r="ADQ14" s="206"/>
      <c r="ADR14" s="206"/>
      <c r="ADS14" s="206"/>
      <c r="ADT14" s="129"/>
      <c r="ADU14" s="129"/>
      <c r="ADV14" s="205" t="s">
        <v>34</v>
      </c>
      <c r="ADW14" s="205"/>
      <c r="ADX14" s="205"/>
      <c r="ADY14" s="205"/>
      <c r="ADZ14" s="104"/>
      <c r="AEA14" s="104"/>
      <c r="AEB14" s="206" t="s">
        <v>22</v>
      </c>
      <c r="AEC14" s="206"/>
      <c r="AED14" s="206"/>
      <c r="AEE14" s="206"/>
      <c r="AEF14" s="129"/>
      <c r="AEG14" s="129"/>
      <c r="AEH14" s="205" t="s">
        <v>35</v>
      </c>
      <c r="AEI14" s="205"/>
      <c r="AEJ14" s="205"/>
      <c r="AEK14" s="205"/>
      <c r="AEL14" s="104"/>
      <c r="AEM14" s="104"/>
      <c r="AEN14" s="206" t="s">
        <v>23</v>
      </c>
      <c r="AEO14" s="206"/>
      <c r="AEP14" s="206"/>
      <c r="AEQ14" s="206"/>
      <c r="AER14" s="129"/>
      <c r="AES14" s="129"/>
      <c r="AET14" s="205" t="s">
        <v>36</v>
      </c>
      <c r="AEU14" s="205"/>
      <c r="AEV14" s="205"/>
      <c r="AEW14" s="205"/>
      <c r="AEX14" s="104"/>
      <c r="AEY14" s="104"/>
      <c r="AEZ14" s="206" t="s">
        <v>24</v>
      </c>
      <c r="AFA14" s="206"/>
      <c r="AFB14" s="206"/>
      <c r="AFC14" s="206"/>
      <c r="AFD14" s="129"/>
      <c r="AFE14" s="129"/>
      <c r="AFF14" s="205" t="s">
        <v>37</v>
      </c>
      <c r="AFG14" s="205"/>
      <c r="AFH14" s="205"/>
      <c r="AFI14" s="205"/>
      <c r="AFJ14" s="104"/>
      <c r="AFK14" s="104"/>
      <c r="AFL14" s="104"/>
      <c r="AFM14" s="105"/>
      <c r="AFN14" s="103"/>
      <c r="AFO14" s="104"/>
      <c r="AFP14" s="104"/>
      <c r="AFQ14" s="104"/>
      <c r="AFR14" s="205" t="s">
        <v>33</v>
      </c>
      <c r="AFS14" s="205"/>
      <c r="AFT14" s="205"/>
      <c r="AFU14" s="205"/>
      <c r="AFV14" s="104"/>
      <c r="AFW14" s="104"/>
      <c r="AFX14" s="206" t="s">
        <v>21</v>
      </c>
      <c r="AFY14" s="206"/>
      <c r="AFZ14" s="206"/>
      <c r="AGA14" s="206"/>
      <c r="AGB14" s="129"/>
      <c r="AGC14" s="129"/>
      <c r="AGD14" s="205" t="s">
        <v>34</v>
      </c>
      <c r="AGE14" s="205"/>
      <c r="AGF14" s="205"/>
      <c r="AGG14" s="205"/>
      <c r="AGH14" s="104"/>
      <c r="AGI14" s="104"/>
      <c r="AGJ14" s="206" t="s">
        <v>22</v>
      </c>
      <c r="AGK14" s="206"/>
      <c r="AGL14" s="206"/>
      <c r="AGM14" s="206"/>
      <c r="AGN14" s="129"/>
      <c r="AGO14" s="129"/>
      <c r="AGP14" s="205" t="s">
        <v>35</v>
      </c>
      <c r="AGQ14" s="205"/>
      <c r="AGR14" s="205"/>
      <c r="AGS14" s="205"/>
      <c r="AGT14" s="104"/>
      <c r="AGU14" s="104"/>
      <c r="AGV14" s="206" t="s">
        <v>23</v>
      </c>
      <c r="AGW14" s="206"/>
      <c r="AGX14" s="206"/>
      <c r="AGY14" s="206"/>
      <c r="AGZ14" s="129"/>
      <c r="AHA14" s="129"/>
      <c r="AHB14" s="205" t="s">
        <v>36</v>
      </c>
      <c r="AHC14" s="205"/>
      <c r="AHD14" s="205"/>
      <c r="AHE14" s="205"/>
      <c r="AHF14" s="104"/>
      <c r="AHG14" s="104"/>
      <c r="AHH14" s="206" t="s">
        <v>24</v>
      </c>
      <c r="AHI14" s="206"/>
      <c r="AHJ14" s="206"/>
      <c r="AHK14" s="206"/>
      <c r="AHL14" s="129"/>
      <c r="AHM14" s="129"/>
      <c r="AHN14" s="205" t="s">
        <v>37</v>
      </c>
      <c r="AHO14" s="205"/>
      <c r="AHP14" s="205"/>
      <c r="AHQ14" s="205"/>
      <c r="AHR14" s="104"/>
      <c r="AHS14" s="104"/>
      <c r="AHT14" s="104"/>
      <c r="AHU14" s="105"/>
      <c r="AHV14" s="103"/>
      <c r="AHW14" s="104"/>
      <c r="AHX14" s="104"/>
      <c r="AHY14" s="104"/>
      <c r="AHZ14" s="205" t="s">
        <v>33</v>
      </c>
      <c r="AIA14" s="205"/>
      <c r="AIB14" s="205"/>
      <c r="AIC14" s="205"/>
      <c r="AID14" s="104"/>
      <c r="AIE14" s="104"/>
      <c r="AIF14" s="206" t="s">
        <v>21</v>
      </c>
      <c r="AIG14" s="206"/>
      <c r="AIH14" s="206"/>
      <c r="AII14" s="206"/>
      <c r="AIJ14" s="129"/>
      <c r="AIK14" s="129"/>
      <c r="AIL14" s="205" t="s">
        <v>34</v>
      </c>
      <c r="AIM14" s="205"/>
      <c r="AIN14" s="205"/>
      <c r="AIO14" s="205"/>
      <c r="AIP14" s="104"/>
      <c r="AIQ14" s="104"/>
      <c r="AIR14" s="206" t="s">
        <v>22</v>
      </c>
      <c r="AIS14" s="206"/>
      <c r="AIT14" s="206"/>
      <c r="AIU14" s="206"/>
      <c r="AIV14" s="129"/>
      <c r="AIW14" s="129"/>
      <c r="AIX14" s="205" t="s">
        <v>35</v>
      </c>
      <c r="AIY14" s="205"/>
      <c r="AIZ14" s="205"/>
      <c r="AJA14" s="205"/>
      <c r="AJB14" s="104"/>
      <c r="AJC14" s="104"/>
      <c r="AJD14" s="206" t="s">
        <v>23</v>
      </c>
      <c r="AJE14" s="206"/>
      <c r="AJF14" s="206"/>
      <c r="AJG14" s="206"/>
      <c r="AJH14" s="129"/>
      <c r="AJI14" s="129"/>
      <c r="AJJ14" s="205" t="s">
        <v>36</v>
      </c>
      <c r="AJK14" s="205"/>
      <c r="AJL14" s="205"/>
      <c r="AJM14" s="205"/>
      <c r="AJN14" s="104"/>
      <c r="AJO14" s="104"/>
      <c r="AJP14" s="206" t="s">
        <v>24</v>
      </c>
      <c r="AJQ14" s="206"/>
      <c r="AJR14" s="206"/>
      <c r="AJS14" s="206"/>
      <c r="AJT14" s="129"/>
      <c r="AJU14" s="129"/>
      <c r="AJV14" s="205" t="s">
        <v>37</v>
      </c>
      <c r="AJW14" s="205"/>
      <c r="AJX14" s="205"/>
      <c r="AJY14" s="205"/>
      <c r="AJZ14" s="104"/>
      <c r="AKA14" s="104"/>
      <c r="AKB14" s="104"/>
      <c r="AKC14" s="105"/>
      <c r="AKD14" s="103"/>
      <c r="AKE14" s="104"/>
      <c r="AKF14" s="104"/>
      <c r="AKG14" s="104"/>
      <c r="AKH14" s="205" t="s">
        <v>33</v>
      </c>
      <c r="AKI14" s="205"/>
      <c r="AKJ14" s="205"/>
      <c r="AKK14" s="205"/>
      <c r="AKL14" s="104"/>
      <c r="AKM14" s="104"/>
      <c r="AKN14" s="206" t="s">
        <v>21</v>
      </c>
      <c r="AKO14" s="206"/>
      <c r="AKP14" s="206"/>
      <c r="AKQ14" s="206"/>
      <c r="AKR14" s="129"/>
      <c r="AKS14" s="129"/>
      <c r="AKT14" s="205" t="s">
        <v>34</v>
      </c>
      <c r="AKU14" s="205"/>
      <c r="AKV14" s="205"/>
      <c r="AKW14" s="205"/>
      <c r="AKX14" s="104"/>
      <c r="AKY14" s="104"/>
      <c r="AKZ14" s="206" t="s">
        <v>22</v>
      </c>
      <c r="ALA14" s="206"/>
      <c r="ALB14" s="206"/>
      <c r="ALC14" s="206"/>
      <c r="ALD14" s="129"/>
      <c r="ALE14" s="129"/>
      <c r="ALF14" s="205" t="s">
        <v>35</v>
      </c>
      <c r="ALG14" s="205"/>
      <c r="ALH14" s="205"/>
      <c r="ALI14" s="205"/>
      <c r="ALJ14" s="104"/>
      <c r="ALK14" s="104"/>
      <c r="ALL14" s="206" t="s">
        <v>23</v>
      </c>
      <c r="ALM14" s="206"/>
      <c r="ALN14" s="206"/>
      <c r="ALO14" s="206"/>
      <c r="ALP14" s="129"/>
      <c r="ALQ14" s="129"/>
      <c r="ALR14" s="205" t="s">
        <v>36</v>
      </c>
      <c r="ALS14" s="205"/>
      <c r="ALT14" s="205"/>
      <c r="ALU14" s="205"/>
      <c r="ALV14" s="104"/>
      <c r="ALW14" s="104"/>
      <c r="ALX14" s="206" t="s">
        <v>24</v>
      </c>
      <c r="ALY14" s="206"/>
      <c r="ALZ14" s="206"/>
      <c r="AMA14" s="206"/>
      <c r="AMB14" s="129"/>
      <c r="AMC14" s="129"/>
      <c r="AMD14" s="205" t="s">
        <v>37</v>
      </c>
      <c r="AME14" s="205"/>
      <c r="AMF14" s="205"/>
      <c r="AMG14" s="205"/>
      <c r="AMH14" s="104"/>
      <c r="AMI14" s="104"/>
      <c r="AMJ14" s="104"/>
      <c r="AMK14" s="105"/>
      <c r="AML14" s="103"/>
      <c r="AMM14" s="104"/>
      <c r="AMN14" s="104"/>
      <c r="AMO14" s="104"/>
      <c r="AMP14" s="205" t="s">
        <v>33</v>
      </c>
      <c r="AMQ14" s="205"/>
      <c r="AMR14" s="205"/>
      <c r="AMS14" s="205"/>
      <c r="AMT14" s="104"/>
      <c r="AMU14" s="104"/>
      <c r="AMV14" s="206" t="s">
        <v>21</v>
      </c>
      <c r="AMW14" s="206"/>
      <c r="AMX14" s="206"/>
      <c r="AMY14" s="206"/>
      <c r="AMZ14" s="129"/>
      <c r="ANA14" s="129"/>
      <c r="ANB14" s="205" t="s">
        <v>34</v>
      </c>
      <c r="ANC14" s="205"/>
      <c r="AND14" s="205"/>
      <c r="ANE14" s="205"/>
      <c r="ANF14" s="104"/>
      <c r="ANG14" s="104"/>
      <c r="ANH14" s="206" t="s">
        <v>22</v>
      </c>
      <c r="ANI14" s="206"/>
      <c r="ANJ14" s="206"/>
      <c r="ANK14" s="206"/>
      <c r="ANL14" s="129"/>
      <c r="ANM14" s="129"/>
      <c r="ANN14" s="205" t="s">
        <v>35</v>
      </c>
      <c r="ANO14" s="205"/>
      <c r="ANP14" s="205"/>
      <c r="ANQ14" s="205"/>
      <c r="ANR14" s="104"/>
      <c r="ANS14" s="104"/>
      <c r="ANT14" s="206" t="s">
        <v>23</v>
      </c>
      <c r="ANU14" s="206"/>
      <c r="ANV14" s="206"/>
      <c r="ANW14" s="206"/>
      <c r="ANX14" s="129"/>
      <c r="ANY14" s="129"/>
      <c r="ANZ14" s="205" t="s">
        <v>36</v>
      </c>
      <c r="AOA14" s="205"/>
      <c r="AOB14" s="205"/>
      <c r="AOC14" s="205"/>
      <c r="AOD14" s="104"/>
      <c r="AOE14" s="104"/>
      <c r="AOF14" s="206" t="s">
        <v>24</v>
      </c>
      <c r="AOG14" s="206"/>
      <c r="AOH14" s="206"/>
      <c r="AOI14" s="206"/>
      <c r="AOJ14" s="129"/>
      <c r="AOK14" s="129"/>
      <c r="AOL14" s="205" t="s">
        <v>37</v>
      </c>
      <c r="AOM14" s="205"/>
      <c r="AON14" s="205"/>
      <c r="AOO14" s="205"/>
      <c r="AOP14" s="104"/>
      <c r="AOQ14" s="104"/>
      <c r="AOR14" s="104"/>
      <c r="AOS14" s="105"/>
      <c r="AOT14" s="103"/>
      <c r="AOU14" s="104"/>
      <c r="AOV14" s="104"/>
      <c r="AOW14" s="104"/>
      <c r="AOX14" s="205" t="s">
        <v>33</v>
      </c>
      <c r="AOY14" s="205"/>
      <c r="AOZ14" s="205"/>
      <c r="APA14" s="205"/>
      <c r="APB14" s="104"/>
      <c r="APC14" s="104"/>
      <c r="APD14" s="206" t="s">
        <v>21</v>
      </c>
      <c r="APE14" s="206"/>
      <c r="APF14" s="206"/>
      <c r="APG14" s="206"/>
      <c r="APH14" s="129"/>
      <c r="API14" s="129"/>
      <c r="APJ14" s="205" t="s">
        <v>34</v>
      </c>
      <c r="APK14" s="205"/>
      <c r="APL14" s="205"/>
      <c r="APM14" s="205"/>
      <c r="APN14" s="104"/>
      <c r="APO14" s="104"/>
      <c r="APP14" s="206" t="s">
        <v>22</v>
      </c>
      <c r="APQ14" s="206"/>
      <c r="APR14" s="206"/>
      <c r="APS14" s="206"/>
      <c r="APT14" s="129"/>
      <c r="APU14" s="129"/>
      <c r="APV14" s="205" t="s">
        <v>35</v>
      </c>
      <c r="APW14" s="205"/>
      <c r="APX14" s="205"/>
      <c r="APY14" s="205"/>
      <c r="APZ14" s="104"/>
      <c r="AQA14" s="104"/>
      <c r="AQB14" s="206" t="s">
        <v>23</v>
      </c>
      <c r="AQC14" s="206"/>
      <c r="AQD14" s="206"/>
      <c r="AQE14" s="206"/>
      <c r="AQF14" s="129"/>
      <c r="AQG14" s="129"/>
      <c r="AQH14" s="205" t="s">
        <v>36</v>
      </c>
      <c r="AQI14" s="205"/>
      <c r="AQJ14" s="205"/>
      <c r="AQK14" s="205"/>
      <c r="AQL14" s="104"/>
      <c r="AQM14" s="104"/>
      <c r="AQN14" s="206" t="s">
        <v>24</v>
      </c>
      <c r="AQO14" s="206"/>
      <c r="AQP14" s="206"/>
      <c r="AQQ14" s="206"/>
      <c r="AQR14" s="129"/>
      <c r="AQS14" s="129"/>
      <c r="AQT14" s="205" t="s">
        <v>37</v>
      </c>
      <c r="AQU14" s="205"/>
      <c r="AQV14" s="205"/>
      <c r="AQW14" s="205"/>
      <c r="AQX14" s="104"/>
      <c r="AQY14" s="104"/>
      <c r="AQZ14" s="104"/>
      <c r="ARA14" s="105"/>
      <c r="ARB14" s="103"/>
      <c r="ARC14" s="104"/>
      <c r="ARD14" s="104"/>
      <c r="ARE14" s="104"/>
      <c r="ARF14" s="205" t="s">
        <v>33</v>
      </c>
      <c r="ARG14" s="205"/>
      <c r="ARH14" s="205"/>
      <c r="ARI14" s="205"/>
      <c r="ARJ14" s="104"/>
      <c r="ARK14" s="104"/>
      <c r="ARL14" s="206" t="s">
        <v>21</v>
      </c>
      <c r="ARM14" s="206"/>
      <c r="ARN14" s="206"/>
      <c r="ARO14" s="206"/>
      <c r="ARP14" s="129"/>
      <c r="ARQ14" s="129"/>
      <c r="ARR14" s="205" t="s">
        <v>34</v>
      </c>
      <c r="ARS14" s="205"/>
      <c r="ART14" s="205"/>
      <c r="ARU14" s="205"/>
      <c r="ARV14" s="104"/>
      <c r="ARW14" s="104"/>
      <c r="ARX14" s="206" t="s">
        <v>22</v>
      </c>
      <c r="ARY14" s="206"/>
      <c r="ARZ14" s="206"/>
      <c r="ASA14" s="206"/>
      <c r="ASB14" s="129"/>
      <c r="ASC14" s="129"/>
      <c r="ASD14" s="205" t="s">
        <v>35</v>
      </c>
      <c r="ASE14" s="205"/>
      <c r="ASF14" s="205"/>
      <c r="ASG14" s="205"/>
      <c r="ASH14" s="104"/>
      <c r="ASI14" s="104"/>
      <c r="ASJ14" s="206" t="s">
        <v>23</v>
      </c>
      <c r="ASK14" s="206"/>
      <c r="ASL14" s="206"/>
      <c r="ASM14" s="206"/>
      <c r="ASN14" s="129"/>
      <c r="ASO14" s="129"/>
      <c r="ASP14" s="205" t="s">
        <v>36</v>
      </c>
      <c r="ASQ14" s="205"/>
      <c r="ASR14" s="205"/>
      <c r="ASS14" s="205"/>
      <c r="AST14" s="104"/>
      <c r="ASU14" s="104"/>
      <c r="ASV14" s="206" t="s">
        <v>24</v>
      </c>
      <c r="ASW14" s="206"/>
      <c r="ASX14" s="206"/>
      <c r="ASY14" s="206"/>
      <c r="ASZ14" s="129"/>
      <c r="ATA14" s="129"/>
      <c r="ATB14" s="205" t="s">
        <v>37</v>
      </c>
      <c r="ATC14" s="205"/>
      <c r="ATD14" s="205"/>
      <c r="ATE14" s="205"/>
      <c r="ATF14" s="104"/>
      <c r="ATG14" s="104"/>
      <c r="ATH14" s="104"/>
      <c r="ATI14" s="105"/>
      <c r="ATJ14" s="103"/>
      <c r="ATK14" s="104"/>
      <c r="ATL14" s="104"/>
      <c r="ATM14" s="104"/>
      <c r="ATN14" s="205" t="s">
        <v>33</v>
      </c>
      <c r="ATO14" s="205"/>
      <c r="ATP14" s="205"/>
      <c r="ATQ14" s="205"/>
      <c r="ATR14" s="104"/>
      <c r="ATS14" s="104"/>
      <c r="ATT14" s="206" t="s">
        <v>21</v>
      </c>
      <c r="ATU14" s="206"/>
      <c r="ATV14" s="206"/>
      <c r="ATW14" s="206"/>
      <c r="ATX14" s="129"/>
      <c r="ATY14" s="129"/>
      <c r="ATZ14" s="205" t="s">
        <v>34</v>
      </c>
      <c r="AUA14" s="205"/>
      <c r="AUB14" s="205"/>
      <c r="AUC14" s="205"/>
      <c r="AUD14" s="104"/>
      <c r="AUE14" s="104"/>
      <c r="AUF14" s="206" t="s">
        <v>22</v>
      </c>
      <c r="AUG14" s="206"/>
      <c r="AUH14" s="206"/>
      <c r="AUI14" s="206"/>
      <c r="AUJ14" s="129"/>
      <c r="AUK14" s="129"/>
      <c r="AUL14" s="205" t="s">
        <v>35</v>
      </c>
      <c r="AUM14" s="205"/>
      <c r="AUN14" s="205"/>
      <c r="AUO14" s="205"/>
      <c r="AUP14" s="104"/>
      <c r="AUQ14" s="104"/>
      <c r="AUR14" s="206" t="s">
        <v>23</v>
      </c>
      <c r="AUS14" s="206"/>
      <c r="AUT14" s="206"/>
      <c r="AUU14" s="206"/>
      <c r="AUV14" s="129"/>
      <c r="AUW14" s="129"/>
      <c r="AUX14" s="205" t="s">
        <v>36</v>
      </c>
      <c r="AUY14" s="205"/>
      <c r="AUZ14" s="205"/>
      <c r="AVA14" s="205"/>
      <c r="AVB14" s="104"/>
      <c r="AVC14" s="104"/>
      <c r="AVD14" s="206" t="s">
        <v>24</v>
      </c>
      <c r="AVE14" s="206"/>
      <c r="AVF14" s="206"/>
      <c r="AVG14" s="206"/>
      <c r="AVH14" s="129"/>
      <c r="AVI14" s="129"/>
      <c r="AVJ14" s="205" t="s">
        <v>37</v>
      </c>
      <c r="AVK14" s="205"/>
      <c r="AVL14" s="205"/>
      <c r="AVM14" s="205"/>
      <c r="AVN14" s="104"/>
      <c r="AVO14" s="104"/>
      <c r="AVP14" s="104"/>
      <c r="AVQ14" s="105"/>
      <c r="AVR14" s="103"/>
      <c r="AVS14" s="104"/>
      <c r="AVT14" s="104"/>
      <c r="AVU14" s="104"/>
      <c r="AVV14" s="205" t="s">
        <v>33</v>
      </c>
      <c r="AVW14" s="205"/>
      <c r="AVX14" s="205"/>
      <c r="AVY14" s="205"/>
      <c r="AVZ14" s="104"/>
      <c r="AWA14" s="104"/>
      <c r="AWB14" s="206" t="s">
        <v>21</v>
      </c>
      <c r="AWC14" s="206"/>
      <c r="AWD14" s="206"/>
      <c r="AWE14" s="206"/>
      <c r="AWF14" s="129"/>
      <c r="AWG14" s="129"/>
      <c r="AWH14" s="205" t="s">
        <v>34</v>
      </c>
      <c r="AWI14" s="205"/>
      <c r="AWJ14" s="205"/>
      <c r="AWK14" s="205"/>
      <c r="AWL14" s="104"/>
      <c r="AWM14" s="104"/>
      <c r="AWN14" s="206" t="s">
        <v>22</v>
      </c>
      <c r="AWO14" s="206"/>
      <c r="AWP14" s="206"/>
      <c r="AWQ14" s="206"/>
      <c r="AWR14" s="129"/>
      <c r="AWS14" s="129"/>
      <c r="AWT14" s="205" t="s">
        <v>35</v>
      </c>
      <c r="AWU14" s="205"/>
      <c r="AWV14" s="205"/>
      <c r="AWW14" s="205"/>
      <c r="AWX14" s="104"/>
      <c r="AWY14" s="104"/>
      <c r="AWZ14" s="206" t="s">
        <v>23</v>
      </c>
      <c r="AXA14" s="206"/>
      <c r="AXB14" s="206"/>
      <c r="AXC14" s="206"/>
      <c r="AXD14" s="129"/>
      <c r="AXE14" s="129"/>
      <c r="AXF14" s="205" t="s">
        <v>36</v>
      </c>
      <c r="AXG14" s="205"/>
      <c r="AXH14" s="205"/>
      <c r="AXI14" s="205"/>
      <c r="AXJ14" s="104"/>
      <c r="AXK14" s="104"/>
      <c r="AXL14" s="206" t="s">
        <v>24</v>
      </c>
      <c r="AXM14" s="206"/>
      <c r="AXN14" s="206"/>
      <c r="AXO14" s="206"/>
      <c r="AXP14" s="129"/>
      <c r="AXQ14" s="129"/>
      <c r="AXR14" s="205" t="s">
        <v>37</v>
      </c>
      <c r="AXS14" s="205"/>
      <c r="AXT14" s="205"/>
      <c r="AXU14" s="205"/>
      <c r="AXV14" s="104"/>
      <c r="AXW14" s="104"/>
      <c r="AXX14" s="104"/>
      <c r="AXY14" s="105"/>
      <c r="AXZ14" s="103"/>
      <c r="AYA14" s="104"/>
      <c r="AYB14" s="104"/>
      <c r="AYC14" s="104"/>
      <c r="AYD14" s="205" t="s">
        <v>33</v>
      </c>
      <c r="AYE14" s="205"/>
      <c r="AYF14" s="205"/>
      <c r="AYG14" s="205"/>
      <c r="AYH14" s="104"/>
      <c r="AYI14" s="104"/>
      <c r="AYJ14" s="206" t="s">
        <v>21</v>
      </c>
      <c r="AYK14" s="206"/>
      <c r="AYL14" s="206"/>
      <c r="AYM14" s="206"/>
      <c r="AYN14" s="129"/>
      <c r="AYO14" s="129"/>
      <c r="AYP14" s="205" t="s">
        <v>34</v>
      </c>
      <c r="AYQ14" s="205"/>
      <c r="AYR14" s="205"/>
      <c r="AYS14" s="205"/>
      <c r="AYT14" s="104"/>
      <c r="AYU14" s="104"/>
      <c r="AYV14" s="206" t="s">
        <v>22</v>
      </c>
      <c r="AYW14" s="206"/>
      <c r="AYX14" s="206"/>
      <c r="AYY14" s="206"/>
      <c r="AYZ14" s="129"/>
      <c r="AZA14" s="129"/>
      <c r="AZB14" s="205" t="s">
        <v>35</v>
      </c>
      <c r="AZC14" s="205"/>
      <c r="AZD14" s="205"/>
      <c r="AZE14" s="205"/>
      <c r="AZF14" s="104"/>
      <c r="AZG14" s="104"/>
      <c r="AZH14" s="206" t="s">
        <v>23</v>
      </c>
      <c r="AZI14" s="206"/>
      <c r="AZJ14" s="206"/>
      <c r="AZK14" s="206"/>
      <c r="AZL14" s="129"/>
      <c r="AZM14" s="129"/>
      <c r="AZN14" s="205" t="s">
        <v>36</v>
      </c>
      <c r="AZO14" s="205"/>
      <c r="AZP14" s="205"/>
      <c r="AZQ14" s="205"/>
      <c r="AZR14" s="104"/>
      <c r="AZS14" s="104"/>
      <c r="AZT14" s="206" t="s">
        <v>24</v>
      </c>
      <c r="AZU14" s="206"/>
      <c r="AZV14" s="206"/>
      <c r="AZW14" s="206"/>
      <c r="AZX14" s="129"/>
      <c r="AZY14" s="129"/>
      <c r="AZZ14" s="205" t="s">
        <v>37</v>
      </c>
      <c r="BAA14" s="205"/>
      <c r="BAB14" s="205"/>
      <c r="BAC14" s="205"/>
      <c r="BAD14" s="104"/>
      <c r="BAE14" s="104"/>
      <c r="BAF14" s="104"/>
      <c r="BAG14" s="105"/>
      <c r="BAH14" s="103"/>
      <c r="BAI14" s="104"/>
      <c r="BAJ14" s="104"/>
      <c r="BAK14" s="104"/>
      <c r="BAL14" s="205" t="s">
        <v>33</v>
      </c>
      <c r="BAM14" s="205"/>
      <c r="BAN14" s="205"/>
      <c r="BAO14" s="205"/>
      <c r="BAP14" s="104"/>
      <c r="BAQ14" s="104"/>
      <c r="BAR14" s="206" t="s">
        <v>21</v>
      </c>
      <c r="BAS14" s="206"/>
      <c r="BAT14" s="206"/>
      <c r="BAU14" s="206"/>
      <c r="BAV14" s="129"/>
      <c r="BAW14" s="129"/>
      <c r="BAX14" s="205" t="s">
        <v>34</v>
      </c>
      <c r="BAY14" s="205"/>
      <c r="BAZ14" s="205"/>
      <c r="BBA14" s="205"/>
      <c r="BBB14" s="104"/>
      <c r="BBC14" s="104"/>
      <c r="BBD14" s="206" t="s">
        <v>22</v>
      </c>
      <c r="BBE14" s="206"/>
      <c r="BBF14" s="206"/>
      <c r="BBG14" s="206"/>
      <c r="BBH14" s="129"/>
      <c r="BBI14" s="129"/>
      <c r="BBJ14" s="205" t="s">
        <v>35</v>
      </c>
      <c r="BBK14" s="205"/>
      <c r="BBL14" s="205"/>
      <c r="BBM14" s="205"/>
      <c r="BBN14" s="104"/>
      <c r="BBO14" s="104"/>
      <c r="BBP14" s="206" t="s">
        <v>23</v>
      </c>
      <c r="BBQ14" s="206"/>
      <c r="BBR14" s="206"/>
      <c r="BBS14" s="206"/>
      <c r="BBT14" s="129"/>
      <c r="BBU14" s="129"/>
      <c r="BBV14" s="205" t="s">
        <v>36</v>
      </c>
      <c r="BBW14" s="205"/>
      <c r="BBX14" s="205"/>
      <c r="BBY14" s="205"/>
      <c r="BBZ14" s="104"/>
      <c r="BCA14" s="104"/>
      <c r="BCB14" s="206" t="s">
        <v>24</v>
      </c>
      <c r="BCC14" s="206"/>
      <c r="BCD14" s="206"/>
      <c r="BCE14" s="206"/>
      <c r="BCF14" s="129"/>
      <c r="BCG14" s="129"/>
      <c r="BCH14" s="205" t="s">
        <v>37</v>
      </c>
      <c r="BCI14" s="205"/>
      <c r="BCJ14" s="205"/>
      <c r="BCK14" s="205"/>
      <c r="BCL14" s="104"/>
      <c r="BCM14" s="104"/>
      <c r="BCN14" s="104"/>
      <c r="BCO14" s="105"/>
      <c r="BCP14" s="103"/>
      <c r="BCQ14" s="104"/>
      <c r="BCR14" s="104"/>
      <c r="BCS14" s="104"/>
      <c r="BCT14" s="205" t="s">
        <v>33</v>
      </c>
      <c r="BCU14" s="205"/>
      <c r="BCV14" s="205"/>
      <c r="BCW14" s="205"/>
      <c r="BCX14" s="104"/>
      <c r="BCY14" s="104"/>
      <c r="BCZ14" s="206" t="s">
        <v>21</v>
      </c>
      <c r="BDA14" s="206"/>
      <c r="BDB14" s="206"/>
      <c r="BDC14" s="206"/>
      <c r="BDD14" s="129"/>
      <c r="BDE14" s="129"/>
      <c r="BDF14" s="205" t="s">
        <v>34</v>
      </c>
      <c r="BDG14" s="205"/>
      <c r="BDH14" s="205"/>
      <c r="BDI14" s="205"/>
      <c r="BDJ14" s="104"/>
      <c r="BDK14" s="104"/>
      <c r="BDL14" s="206" t="s">
        <v>22</v>
      </c>
      <c r="BDM14" s="206"/>
      <c r="BDN14" s="206"/>
      <c r="BDO14" s="206"/>
      <c r="BDP14" s="129"/>
      <c r="BDQ14" s="129"/>
      <c r="BDR14" s="205" t="s">
        <v>35</v>
      </c>
      <c r="BDS14" s="205"/>
      <c r="BDT14" s="205"/>
      <c r="BDU14" s="205"/>
      <c r="BDV14" s="104"/>
      <c r="BDW14" s="104"/>
      <c r="BDX14" s="206" t="s">
        <v>23</v>
      </c>
      <c r="BDY14" s="206"/>
      <c r="BDZ14" s="206"/>
      <c r="BEA14" s="206"/>
      <c r="BEB14" s="129"/>
      <c r="BEC14" s="129"/>
      <c r="BED14" s="205" t="s">
        <v>36</v>
      </c>
      <c r="BEE14" s="205"/>
      <c r="BEF14" s="205"/>
      <c r="BEG14" s="205"/>
      <c r="BEH14" s="104"/>
      <c r="BEI14" s="104"/>
      <c r="BEJ14" s="206" t="s">
        <v>24</v>
      </c>
      <c r="BEK14" s="206"/>
      <c r="BEL14" s="206"/>
      <c r="BEM14" s="206"/>
      <c r="BEN14" s="129"/>
      <c r="BEO14" s="129"/>
      <c r="BEP14" s="205" t="s">
        <v>37</v>
      </c>
      <c r="BEQ14" s="205"/>
      <c r="BER14" s="205"/>
      <c r="BES14" s="205"/>
      <c r="BET14" s="104"/>
      <c r="BEU14" s="104"/>
      <c r="BEV14" s="104"/>
      <c r="BEW14" s="105"/>
      <c r="BEX14" s="103"/>
      <c r="BEY14" s="104"/>
      <c r="BEZ14" s="104"/>
      <c r="BFA14" s="104"/>
      <c r="BFB14" s="205" t="s">
        <v>33</v>
      </c>
      <c r="BFC14" s="205"/>
      <c r="BFD14" s="205"/>
      <c r="BFE14" s="205"/>
      <c r="BFF14" s="104"/>
      <c r="BFG14" s="104"/>
      <c r="BFH14" s="206" t="s">
        <v>21</v>
      </c>
      <c r="BFI14" s="206"/>
      <c r="BFJ14" s="206"/>
      <c r="BFK14" s="206"/>
      <c r="BFL14" s="129"/>
      <c r="BFM14" s="129"/>
      <c r="BFN14" s="205" t="s">
        <v>34</v>
      </c>
      <c r="BFO14" s="205"/>
      <c r="BFP14" s="205"/>
      <c r="BFQ14" s="205"/>
      <c r="BFR14" s="104"/>
      <c r="BFS14" s="104"/>
      <c r="BFT14" s="206" t="s">
        <v>22</v>
      </c>
      <c r="BFU14" s="206"/>
      <c r="BFV14" s="206"/>
      <c r="BFW14" s="206"/>
      <c r="BFX14" s="129"/>
      <c r="BFY14" s="129"/>
      <c r="BFZ14" s="205" t="s">
        <v>35</v>
      </c>
      <c r="BGA14" s="205"/>
      <c r="BGB14" s="205"/>
      <c r="BGC14" s="205"/>
      <c r="BGD14" s="104"/>
      <c r="BGE14" s="104"/>
      <c r="BGF14" s="206" t="s">
        <v>23</v>
      </c>
      <c r="BGG14" s="206"/>
      <c r="BGH14" s="206"/>
      <c r="BGI14" s="206"/>
      <c r="BGJ14" s="129"/>
      <c r="BGK14" s="129"/>
      <c r="BGL14" s="205" t="s">
        <v>36</v>
      </c>
      <c r="BGM14" s="205"/>
      <c r="BGN14" s="205"/>
      <c r="BGO14" s="205"/>
      <c r="BGP14" s="104"/>
      <c r="BGQ14" s="104"/>
      <c r="BGR14" s="206" t="s">
        <v>24</v>
      </c>
      <c r="BGS14" s="206"/>
      <c r="BGT14" s="206"/>
      <c r="BGU14" s="206"/>
      <c r="BGV14" s="129"/>
      <c r="BGW14" s="129"/>
      <c r="BGX14" s="205" t="s">
        <v>37</v>
      </c>
      <c r="BGY14" s="205"/>
      <c r="BGZ14" s="205"/>
      <c r="BHA14" s="205"/>
      <c r="BHB14" s="104"/>
      <c r="BHC14" s="104"/>
      <c r="BHD14" s="104"/>
      <c r="BHE14" s="105"/>
      <c r="BHF14" s="103"/>
      <c r="BHG14" s="104"/>
      <c r="BHH14" s="104"/>
      <c r="BHI14" s="104"/>
      <c r="BHJ14" s="205" t="s">
        <v>33</v>
      </c>
      <c r="BHK14" s="205"/>
      <c r="BHL14" s="205"/>
      <c r="BHM14" s="205"/>
      <c r="BHN14" s="104"/>
      <c r="BHO14" s="104"/>
      <c r="BHP14" s="206" t="s">
        <v>21</v>
      </c>
      <c r="BHQ14" s="206"/>
      <c r="BHR14" s="206"/>
      <c r="BHS14" s="206"/>
      <c r="BHT14" s="129"/>
      <c r="BHU14" s="129"/>
      <c r="BHV14" s="205" t="s">
        <v>34</v>
      </c>
      <c r="BHW14" s="205"/>
      <c r="BHX14" s="205"/>
      <c r="BHY14" s="205"/>
      <c r="BHZ14" s="104"/>
      <c r="BIA14" s="104"/>
      <c r="BIB14" s="206" t="s">
        <v>22</v>
      </c>
      <c r="BIC14" s="206"/>
      <c r="BID14" s="206"/>
      <c r="BIE14" s="206"/>
      <c r="BIF14" s="129"/>
      <c r="BIG14" s="129"/>
      <c r="BIH14" s="205" t="s">
        <v>35</v>
      </c>
      <c r="BII14" s="205"/>
      <c r="BIJ14" s="205"/>
      <c r="BIK14" s="205"/>
      <c r="BIL14" s="104"/>
      <c r="BIM14" s="104"/>
      <c r="BIN14" s="206" t="s">
        <v>23</v>
      </c>
      <c r="BIO14" s="206"/>
      <c r="BIP14" s="206"/>
      <c r="BIQ14" s="206"/>
      <c r="BIR14" s="129"/>
      <c r="BIS14" s="129"/>
      <c r="BIT14" s="205" t="s">
        <v>36</v>
      </c>
      <c r="BIU14" s="205"/>
      <c r="BIV14" s="205"/>
      <c r="BIW14" s="205"/>
      <c r="BIX14" s="104"/>
      <c r="BIY14" s="104"/>
      <c r="BIZ14" s="206" t="s">
        <v>24</v>
      </c>
      <c r="BJA14" s="206"/>
      <c r="BJB14" s="206"/>
      <c r="BJC14" s="206"/>
      <c r="BJD14" s="129"/>
      <c r="BJE14" s="129"/>
      <c r="BJF14" s="205" t="s">
        <v>37</v>
      </c>
      <c r="BJG14" s="205"/>
      <c r="BJH14" s="205"/>
      <c r="BJI14" s="205"/>
      <c r="BJJ14" s="104"/>
      <c r="BJK14" s="104"/>
      <c r="BJL14" s="104"/>
      <c r="BJM14" s="105"/>
      <c r="BJN14" s="103"/>
      <c r="BJO14" s="104"/>
      <c r="BJP14" s="104"/>
      <c r="BJQ14" s="104"/>
      <c r="BJR14" s="205" t="s">
        <v>33</v>
      </c>
      <c r="BJS14" s="205"/>
      <c r="BJT14" s="205"/>
      <c r="BJU14" s="205"/>
      <c r="BJV14" s="104"/>
      <c r="BJW14" s="104"/>
      <c r="BJX14" s="206" t="s">
        <v>21</v>
      </c>
      <c r="BJY14" s="206"/>
      <c r="BJZ14" s="206"/>
      <c r="BKA14" s="206"/>
      <c r="BKB14" s="129"/>
      <c r="BKC14" s="129"/>
      <c r="BKD14" s="205" t="s">
        <v>34</v>
      </c>
      <c r="BKE14" s="205"/>
      <c r="BKF14" s="205"/>
      <c r="BKG14" s="205"/>
      <c r="BKH14" s="104"/>
      <c r="BKI14" s="104"/>
      <c r="BKJ14" s="206" t="s">
        <v>22</v>
      </c>
      <c r="BKK14" s="206"/>
      <c r="BKL14" s="206"/>
      <c r="BKM14" s="206"/>
      <c r="BKN14" s="129"/>
      <c r="BKO14" s="129"/>
      <c r="BKP14" s="205" t="s">
        <v>35</v>
      </c>
      <c r="BKQ14" s="205"/>
      <c r="BKR14" s="205"/>
      <c r="BKS14" s="205"/>
      <c r="BKT14" s="104"/>
      <c r="BKU14" s="104"/>
      <c r="BKV14" s="206" t="s">
        <v>23</v>
      </c>
      <c r="BKW14" s="206"/>
      <c r="BKX14" s="206"/>
      <c r="BKY14" s="206"/>
      <c r="BKZ14" s="129"/>
      <c r="BLA14" s="129"/>
      <c r="BLB14" s="205" t="s">
        <v>36</v>
      </c>
      <c r="BLC14" s="205"/>
      <c r="BLD14" s="205"/>
      <c r="BLE14" s="205"/>
      <c r="BLF14" s="104"/>
      <c r="BLG14" s="104"/>
      <c r="BLH14" s="206" t="s">
        <v>24</v>
      </c>
      <c r="BLI14" s="206"/>
      <c r="BLJ14" s="206"/>
      <c r="BLK14" s="206"/>
      <c r="BLL14" s="129"/>
      <c r="BLM14" s="129"/>
      <c r="BLN14" s="205" t="s">
        <v>37</v>
      </c>
      <c r="BLO14" s="205"/>
      <c r="BLP14" s="205"/>
      <c r="BLQ14" s="205"/>
      <c r="BLR14" s="104"/>
      <c r="BLS14" s="104"/>
      <c r="BLT14" s="104"/>
      <c r="BLU14" s="105"/>
      <c r="BLV14" s="90"/>
    </row>
    <row r="15" spans="1:1686" ht="20.100000000000001" customHeight="1" x14ac:dyDescent="0.25">
      <c r="A15" s="100" t="s">
        <v>17</v>
      </c>
      <c r="B15" s="63" t="str">
        <f>IF(LEN(C15)=0,"",C15)</f>
        <v xml:space="preserve">Absences - imprévus </v>
      </c>
      <c r="C15" s="21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1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1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1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1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1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1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17"/>
      <c r="D22" s="147" t="str">
        <f t="shared" si="0"/>
        <v>4h5min</v>
      </c>
      <c r="E22" s="35">
        <v>49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171"/>
      <c r="FG22" s="171"/>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171"/>
      <c r="HO22" s="171"/>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171"/>
      <c r="JW22" s="171"/>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71"/>
      <c r="ME22" s="171"/>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83"/>
      <c r="NZ22" s="171"/>
      <c r="OA22" s="171"/>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170"/>
      <c r="PN22" s="171"/>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171"/>
      <c r="SN22" s="171"/>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170"/>
      <c r="VE22" s="170"/>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171"/>
      <c r="ZE22" s="171"/>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171"/>
      <c r="AFA22" s="183"/>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171"/>
      <c r="AGW22" s="183"/>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71"/>
      <c r="AJQ22" s="183"/>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71"/>
      <c r="ALO22" s="171"/>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171"/>
      <c r="ANW22" s="171"/>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171"/>
      <c r="AQC22" s="183"/>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171"/>
      <c r="ASC22" s="171"/>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171"/>
      <c r="AVE22" s="183"/>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171"/>
      <c r="AXC22" s="171"/>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171"/>
      <c r="AZU22" s="183"/>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171"/>
      <c r="BBS22" s="171"/>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171"/>
      <c r="BEA22" s="171"/>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170"/>
      <c r="BGC22" s="170"/>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171"/>
      <c r="BIQ22" s="171"/>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171"/>
      <c r="BKG22" s="171"/>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1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17"/>
      <c r="D24" s="147" t="str">
        <f t="shared" si="0"/>
        <v>32h25min</v>
      </c>
      <c r="E24" s="27">
        <v>389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194"/>
      <c r="EX24" s="194"/>
      <c r="EY24" s="196"/>
      <c r="EZ24" s="193"/>
      <c r="FA24" s="193"/>
      <c r="FB24" s="193"/>
      <c r="FC24" s="193"/>
      <c r="FD24" s="194"/>
      <c r="FE24" s="185"/>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193"/>
      <c r="GF24" s="193"/>
      <c r="GG24" s="193"/>
      <c r="GH24" s="194"/>
      <c r="GI24" s="195"/>
      <c r="GJ24" s="194"/>
      <c r="GK24" s="194"/>
      <c r="GL24" s="194"/>
      <c r="GM24" s="194"/>
      <c r="GN24" s="194"/>
      <c r="GO24" s="185"/>
      <c r="GP24" s="194"/>
      <c r="GQ24" s="194"/>
      <c r="GR24" s="194"/>
      <c r="GS24" s="194"/>
      <c r="GT24" s="194"/>
      <c r="GU24" s="196"/>
      <c r="GV24" s="194"/>
      <c r="GW24" s="194"/>
      <c r="GX24" s="194"/>
      <c r="GY24" s="194"/>
      <c r="GZ24" s="194"/>
      <c r="HA24" s="185"/>
      <c r="HB24" s="194"/>
      <c r="HC24" s="194"/>
      <c r="HD24" s="194"/>
      <c r="HE24" s="194"/>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194"/>
      <c r="JI24" s="185"/>
      <c r="JJ24" s="194"/>
      <c r="JK24" s="194"/>
      <c r="JL24" s="194"/>
      <c r="JM24" s="194"/>
      <c r="JN24" s="194"/>
      <c r="JO24" s="196"/>
      <c r="JP24" s="193"/>
      <c r="JQ24" s="193"/>
      <c r="JR24" s="193"/>
      <c r="JS24" s="193"/>
      <c r="JT24" s="194"/>
      <c r="JU24" s="185"/>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193"/>
      <c r="LY24" s="193"/>
      <c r="LZ24" s="193"/>
      <c r="MA24" s="193"/>
      <c r="MB24" s="194"/>
      <c r="MC24" s="18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192"/>
      <c r="NC24" s="193"/>
      <c r="ND24" s="193"/>
      <c r="NE24" s="193"/>
      <c r="NF24" s="194"/>
      <c r="NG24" s="195"/>
      <c r="NH24" s="194"/>
      <c r="NI24" s="194"/>
      <c r="NJ24" s="194"/>
      <c r="NK24" s="194"/>
      <c r="NL24" s="194"/>
      <c r="NM24" s="185"/>
      <c r="NN24" s="194"/>
      <c r="NO24" s="194"/>
      <c r="NP24" s="194"/>
      <c r="NQ24" s="194"/>
      <c r="NR24" s="194"/>
      <c r="NS24" s="196"/>
      <c r="NT24" s="194"/>
      <c r="NU24" s="194"/>
      <c r="NV24" s="194"/>
      <c r="NW24" s="194"/>
      <c r="NX24" s="194"/>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95"/>
      <c r="PP24" s="194"/>
      <c r="PQ24" s="194"/>
      <c r="PR24" s="194"/>
      <c r="PS24" s="194"/>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193"/>
      <c r="SX24" s="193"/>
      <c r="SY24" s="193"/>
      <c r="SZ24" s="194"/>
      <c r="TA24" s="185"/>
      <c r="TB24" s="194"/>
      <c r="TC24" s="194"/>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193"/>
      <c r="VG24" s="193"/>
      <c r="VH24" s="194"/>
      <c r="VI24" s="185"/>
      <c r="VJ24" s="194"/>
      <c r="VK24" s="194"/>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194"/>
      <c r="WM24" s="195"/>
      <c r="WN24" s="194"/>
      <c r="WO24" s="194"/>
      <c r="WP24" s="194"/>
      <c r="WQ24" s="194"/>
      <c r="WR24" s="194"/>
      <c r="WS24" s="185"/>
      <c r="WT24" s="194"/>
      <c r="WU24" s="194"/>
      <c r="WV24" s="194"/>
      <c r="WW24" s="194"/>
      <c r="WX24" s="194"/>
      <c r="WY24" s="196"/>
      <c r="WZ24" s="194"/>
      <c r="XA24" s="194"/>
      <c r="XB24" s="194"/>
      <c r="XC24" s="194"/>
      <c r="XD24" s="194"/>
      <c r="XE24" s="185"/>
      <c r="XF24" s="194"/>
      <c r="XG24" s="194"/>
      <c r="XH24" s="194"/>
      <c r="XI24" s="194"/>
      <c r="XJ24" s="194"/>
      <c r="XK24" s="196"/>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192"/>
      <c r="YQ24" s="193"/>
      <c r="YR24" s="193"/>
      <c r="YS24" s="193"/>
      <c r="YT24" s="194"/>
      <c r="YU24" s="195"/>
      <c r="YV24" s="194"/>
      <c r="YW24" s="194"/>
      <c r="YX24" s="194"/>
      <c r="YY24" s="194"/>
      <c r="YZ24" s="194"/>
      <c r="ZA24" s="185"/>
      <c r="ZB24" s="194"/>
      <c r="ZC24" s="194"/>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193"/>
      <c r="ALK24" s="193"/>
      <c r="ALL24" s="194"/>
      <c r="ALM24" s="18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194"/>
      <c r="ARI24" s="194"/>
      <c r="ARJ24" s="194"/>
      <c r="ARK24" s="194"/>
      <c r="ARL24" s="194"/>
      <c r="ARM24" s="185"/>
      <c r="ARN24" s="194"/>
      <c r="ARO24" s="194"/>
      <c r="ARP24" s="194"/>
      <c r="ARQ24" s="194"/>
      <c r="ARR24" s="194"/>
      <c r="ARS24" s="196"/>
      <c r="ART24" s="194"/>
      <c r="ARU24" s="194"/>
      <c r="ARV24" s="194"/>
      <c r="ARW24" s="194"/>
      <c r="ARX24" s="194"/>
      <c r="ARY24" s="185"/>
      <c r="ARZ24" s="194"/>
      <c r="ASA24" s="194"/>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194"/>
      <c r="ATS24" s="194"/>
      <c r="ATT24" s="194"/>
      <c r="ATU24" s="185"/>
      <c r="ATV24" s="194"/>
      <c r="ATW24" s="194"/>
      <c r="ATX24" s="194"/>
      <c r="ATY24" s="194"/>
      <c r="ATZ24" s="194"/>
      <c r="AUA24" s="196"/>
      <c r="AUB24" s="194"/>
      <c r="AUC24" s="194"/>
      <c r="AUD24" s="194"/>
      <c r="AUE24" s="194"/>
      <c r="AUF24" s="194"/>
      <c r="AUG24" s="185"/>
      <c r="AUH24" s="194"/>
      <c r="AUI24" s="194"/>
      <c r="AUJ24" s="194"/>
      <c r="AUK24" s="194"/>
      <c r="AUL24" s="194"/>
      <c r="AUM24" s="196"/>
      <c r="AUN24" s="193"/>
      <c r="AUO24" s="193"/>
      <c r="AUP24" s="193"/>
      <c r="AUQ24" s="193"/>
      <c r="AUR24" s="194"/>
      <c r="AUS24" s="185"/>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194"/>
      <c r="AVW24" s="195"/>
      <c r="AVX24" s="194"/>
      <c r="AVY24" s="194"/>
      <c r="AVZ24" s="194"/>
      <c r="AWA24" s="194"/>
      <c r="AWB24" s="194"/>
      <c r="AWC24" s="185"/>
      <c r="AWD24" s="194"/>
      <c r="AWE24" s="194"/>
      <c r="AWF24" s="194"/>
      <c r="AWG24" s="194"/>
      <c r="AWH24" s="194"/>
      <c r="AWI24" s="196"/>
      <c r="AWJ24" s="194"/>
      <c r="AWK24" s="194"/>
      <c r="AWL24" s="194"/>
      <c r="AWM24" s="194"/>
      <c r="AWN24" s="194"/>
      <c r="AWO24" s="185"/>
      <c r="AWP24" s="194"/>
      <c r="AWQ24" s="194"/>
      <c r="AWR24" s="194"/>
      <c r="AWS24" s="194"/>
      <c r="AWT24" s="194"/>
      <c r="AWU24" s="196"/>
      <c r="AWV24" s="193"/>
      <c r="AWW24" s="193"/>
      <c r="AWX24" s="193"/>
      <c r="AWY24" s="193"/>
      <c r="AWZ24" s="194"/>
      <c r="AXA24" s="185"/>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192"/>
      <c r="AYA24" s="193"/>
      <c r="AYB24" s="193"/>
      <c r="AYC24" s="193"/>
      <c r="AYD24" s="194"/>
      <c r="AYE24" s="195"/>
      <c r="AYF24" s="194"/>
      <c r="AYG24" s="194"/>
      <c r="AYH24" s="194"/>
      <c r="AYI24" s="194"/>
      <c r="AYJ24" s="194"/>
      <c r="AYK24" s="185"/>
      <c r="AYL24" s="194"/>
      <c r="AYM24" s="194"/>
      <c r="AYN24" s="194"/>
      <c r="AYO24" s="194"/>
      <c r="AYP24" s="194"/>
      <c r="AYQ24" s="196"/>
      <c r="AYR24" s="194"/>
      <c r="AYS24" s="194"/>
      <c r="AYT24" s="194"/>
      <c r="AYU24" s="194"/>
      <c r="AYV24" s="194"/>
      <c r="AYW24" s="185"/>
      <c r="AYX24" s="194"/>
      <c r="AYY24" s="194"/>
      <c r="AYZ24" s="194"/>
      <c r="AZA24" s="194"/>
      <c r="AZB24" s="194"/>
      <c r="AZC24" s="196"/>
      <c r="AZD24" s="193"/>
      <c r="AZE24" s="193"/>
      <c r="AZF24" s="193"/>
      <c r="AZG24" s="193"/>
      <c r="AZH24" s="194"/>
      <c r="AZI24" s="185"/>
      <c r="AZJ24" s="194"/>
      <c r="AZK24" s="194"/>
      <c r="AZL24" s="194"/>
      <c r="AZM24" s="194"/>
      <c r="AZN24" s="194"/>
      <c r="AZO24" s="196"/>
      <c r="AZP24" s="194"/>
      <c r="AZQ24" s="194"/>
      <c r="AZR24" s="194"/>
      <c r="AZS24" s="194"/>
      <c r="AZT24" s="29"/>
      <c r="AZU24" s="136"/>
      <c r="AZV24" s="29"/>
      <c r="AZW24" s="29"/>
      <c r="AZX24" s="29"/>
      <c r="AZY24" s="29"/>
      <c r="AZZ24" s="29"/>
      <c r="BAA24" s="73"/>
      <c r="BAB24" s="29"/>
      <c r="BAC24" s="29"/>
      <c r="BAD24" s="29"/>
      <c r="BAE24" s="29"/>
      <c r="BAF24" s="29"/>
      <c r="BAG24" s="30"/>
      <c r="BAH24" s="192"/>
      <c r="BAI24" s="193"/>
      <c r="BAJ24" s="193"/>
      <c r="BAK24" s="193"/>
      <c r="BAL24" s="194"/>
      <c r="BAM24" s="195"/>
      <c r="BAN24" s="194"/>
      <c r="BAO24" s="194"/>
      <c r="BAP24" s="194"/>
      <c r="BAQ24" s="194"/>
      <c r="BAR24" s="194"/>
      <c r="BAS24" s="185"/>
      <c r="BAT24" s="194"/>
      <c r="BAU24" s="194"/>
      <c r="BAV24" s="194"/>
      <c r="BAW24" s="194"/>
      <c r="BAX24" s="194"/>
      <c r="BAY24" s="196"/>
      <c r="BAZ24" s="194"/>
      <c r="BBA24" s="194"/>
      <c r="BBB24" s="194"/>
      <c r="BBC24" s="194"/>
      <c r="BBD24" s="194"/>
      <c r="BBE24" s="185"/>
      <c r="BBF24" s="194"/>
      <c r="BBG24" s="194"/>
      <c r="BBH24" s="194"/>
      <c r="BBI24" s="194"/>
      <c r="BBJ24" s="194"/>
      <c r="BBK24" s="196"/>
      <c r="BBL24" s="193"/>
      <c r="BBM24" s="193"/>
      <c r="BBN24" s="193"/>
      <c r="BBO24" s="193"/>
      <c r="BBP24" s="194"/>
      <c r="BBQ24" s="185"/>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192"/>
      <c r="BCQ24" s="193"/>
      <c r="BCR24" s="193"/>
      <c r="BCS24" s="193"/>
      <c r="BCT24" s="194"/>
      <c r="BCU24" s="195"/>
      <c r="BCV24" s="194"/>
      <c r="BCW24" s="194"/>
      <c r="BCX24" s="194"/>
      <c r="BCY24" s="194"/>
      <c r="BCZ24" s="194"/>
      <c r="BDA24" s="185"/>
      <c r="BDB24" s="194"/>
      <c r="BDC24" s="194"/>
      <c r="BDD24" s="194"/>
      <c r="BDE24" s="194"/>
      <c r="BDF24" s="194"/>
      <c r="BDG24" s="196"/>
      <c r="BDH24" s="194"/>
      <c r="BDI24" s="194"/>
      <c r="BDJ24" s="194"/>
      <c r="BDK24" s="194"/>
      <c r="BDL24" s="194"/>
      <c r="BDM24" s="185"/>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194"/>
      <c r="BFE24" s="194"/>
      <c r="BFF24" s="194"/>
      <c r="BFG24" s="194"/>
      <c r="BFH24" s="194"/>
      <c r="BFI24" s="185"/>
      <c r="BFJ24" s="194"/>
      <c r="BFK24" s="194"/>
      <c r="BFL24" s="194"/>
      <c r="BFM24" s="194"/>
      <c r="BFN24" s="194"/>
      <c r="BFO24" s="196"/>
      <c r="BFP24" s="194"/>
      <c r="BFQ24" s="194"/>
      <c r="BFR24" s="194"/>
      <c r="BFS24" s="194"/>
      <c r="BFT24" s="194"/>
      <c r="BFU24" s="185"/>
      <c r="BFV24" s="194"/>
      <c r="BFW24" s="194"/>
      <c r="BFX24" s="194"/>
      <c r="BFY24" s="194"/>
      <c r="BFZ24" s="194"/>
      <c r="BGA24" s="196"/>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92"/>
      <c r="BHG24" s="193"/>
      <c r="BHH24" s="193"/>
      <c r="BHI24" s="193"/>
      <c r="BHJ24" s="194"/>
      <c r="BHK24" s="195"/>
      <c r="BHL24" s="194"/>
      <c r="BHM24" s="194"/>
      <c r="BHN24" s="194"/>
      <c r="BHO24" s="194"/>
      <c r="BHP24" s="194"/>
      <c r="BHQ24" s="185"/>
      <c r="BHR24" s="194"/>
      <c r="BHS24" s="194"/>
      <c r="BHT24" s="194"/>
      <c r="BHU24" s="194"/>
      <c r="BHV24" s="194"/>
      <c r="BHW24" s="196"/>
      <c r="BHX24" s="194"/>
      <c r="BHY24" s="194"/>
      <c r="BHZ24" s="194"/>
      <c r="BIA24" s="194"/>
      <c r="BIB24" s="194"/>
      <c r="BIC24" s="185"/>
      <c r="BID24" s="194"/>
      <c r="BIE24" s="194"/>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192"/>
      <c r="BJO24" s="193"/>
      <c r="BJP24" s="193"/>
      <c r="BJQ24" s="193"/>
      <c r="BJR24" s="194"/>
      <c r="BJS24" s="195"/>
      <c r="BJT24" s="194"/>
      <c r="BJU24" s="194"/>
      <c r="BJV24" s="194"/>
      <c r="BJW24" s="194"/>
      <c r="BJX24" s="194"/>
      <c r="BJY24" s="185"/>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1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17"/>
      <c r="D26" s="148" t="str">
        <f t="shared" si="0"/>
        <v>2h10min</v>
      </c>
      <c r="E26" s="35">
        <v>26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169"/>
      <c r="DW26" s="170"/>
      <c r="DX26" s="170"/>
      <c r="DY26" s="170"/>
      <c r="DZ26" s="171"/>
      <c r="EA26" s="172"/>
      <c r="EB26" s="171"/>
      <c r="EC26" s="171"/>
      <c r="ED26" s="171"/>
      <c r="EE26" s="171"/>
      <c r="EF26" s="171"/>
      <c r="EG26" s="183"/>
      <c r="EH26" s="171"/>
      <c r="EI26" s="171"/>
      <c r="EJ26" s="171"/>
      <c r="EK26" s="171"/>
      <c r="EL26" s="171"/>
      <c r="EM26" s="184"/>
      <c r="EN26" s="171"/>
      <c r="EO26" s="171"/>
      <c r="EP26" s="171"/>
      <c r="EQ26" s="171"/>
      <c r="ER26" s="171"/>
      <c r="ES26" s="183"/>
      <c r="ET26" s="171"/>
      <c r="EU26" s="171"/>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1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17"/>
      <c r="D28" s="148" t="str">
        <f t="shared" si="0"/>
        <v>2h20min</v>
      </c>
      <c r="E28" s="27">
        <v>28</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194"/>
      <c r="HG28" s="196"/>
      <c r="HH28" s="193"/>
      <c r="HI28" s="193"/>
      <c r="HJ28" s="193"/>
      <c r="HK28" s="193"/>
      <c r="HL28" s="194"/>
      <c r="HM28" s="185"/>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192"/>
      <c r="IM28" s="193"/>
      <c r="IN28" s="193"/>
      <c r="IO28" s="193"/>
      <c r="IP28" s="194"/>
      <c r="IQ28" s="195"/>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92"/>
      <c r="KU28" s="193"/>
      <c r="KV28" s="193"/>
      <c r="KW28" s="193"/>
      <c r="KX28" s="194"/>
      <c r="KY28" s="195"/>
      <c r="KZ28" s="194"/>
      <c r="LA28" s="194"/>
      <c r="LB28" s="194"/>
      <c r="LC28" s="194"/>
      <c r="LD28" s="194"/>
      <c r="LE28" s="185"/>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194"/>
      <c r="XS28" s="194"/>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1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17"/>
      <c r="D30" s="148" t="str">
        <f t="shared" si="0"/>
        <v>1h20min</v>
      </c>
      <c r="E30" s="35">
        <v>16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171"/>
      <c r="IS30" s="171"/>
      <c r="IT30" s="171"/>
      <c r="IU30" s="171"/>
      <c r="IV30" s="171"/>
      <c r="IW30" s="183"/>
      <c r="IX30" s="171"/>
      <c r="IY30" s="171"/>
      <c r="IZ30" s="171"/>
      <c r="JA30" s="171"/>
      <c r="JB30" s="171"/>
      <c r="JC30" s="184"/>
      <c r="JD30" s="171"/>
      <c r="JE30" s="171"/>
      <c r="JF30" s="171"/>
      <c r="JG30" s="171"/>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1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17"/>
      <c r="D32" s="148" t="str">
        <f t="shared" si="0"/>
        <v>5h5min</v>
      </c>
      <c r="E32" s="27">
        <v>61</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194"/>
      <c r="LG32" s="194"/>
      <c r="LH32" s="194"/>
      <c r="LI32" s="194"/>
      <c r="LJ32" s="194"/>
      <c r="LK32" s="196"/>
      <c r="LL32" s="194"/>
      <c r="LM32" s="194"/>
      <c r="LN32" s="194"/>
      <c r="LO32" s="194"/>
      <c r="LP32" s="194"/>
      <c r="LQ32" s="185"/>
      <c r="LR32" s="194"/>
      <c r="LS32" s="194"/>
      <c r="LT32" s="194"/>
      <c r="LU32" s="194"/>
      <c r="LV32" s="194"/>
      <c r="LW32" s="196"/>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194"/>
      <c r="OC32" s="194"/>
      <c r="OD32" s="194"/>
      <c r="OE32" s="196"/>
      <c r="OF32" s="193"/>
      <c r="OG32" s="193"/>
      <c r="OH32" s="193"/>
      <c r="OI32" s="193"/>
      <c r="OJ32" s="194"/>
      <c r="OK32" s="185"/>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194"/>
      <c r="PU32" s="185"/>
      <c r="PV32" s="194"/>
      <c r="PW32" s="194"/>
      <c r="PX32" s="194"/>
      <c r="PY32" s="194"/>
      <c r="PZ32" s="194"/>
      <c r="QA32" s="196"/>
      <c r="QB32" s="194"/>
      <c r="QC32" s="194"/>
      <c r="QD32" s="194"/>
      <c r="QE32" s="194"/>
      <c r="QF32" s="194"/>
      <c r="QG32" s="185"/>
      <c r="QH32" s="194"/>
      <c r="QI32" s="194"/>
      <c r="QJ32" s="194"/>
      <c r="QK32" s="194"/>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192"/>
      <c r="RS32" s="193"/>
      <c r="RT32" s="193"/>
      <c r="RU32" s="193"/>
      <c r="RV32" s="194"/>
      <c r="RW32" s="195"/>
      <c r="RX32" s="29"/>
      <c r="RY32" s="29"/>
      <c r="RZ32" s="29"/>
      <c r="SA32" s="29"/>
      <c r="SB32" s="29"/>
      <c r="SC32" s="136"/>
      <c r="SD32" s="29"/>
      <c r="SE32" s="29"/>
      <c r="SF32" s="29"/>
      <c r="SG32" s="194"/>
      <c r="SH32" s="194"/>
      <c r="SI32" s="196"/>
      <c r="SJ32" s="194"/>
      <c r="SK32" s="194"/>
      <c r="SL32" s="194"/>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194"/>
      <c r="ANB32" s="194"/>
      <c r="ANC32" s="196"/>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1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17"/>
      <c r="D34" s="148" t="str">
        <f t="shared" si="0"/>
        <v>0h40min</v>
      </c>
      <c r="E34" s="35">
        <v>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171"/>
      <c r="UG34" s="171"/>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170"/>
      <c r="XM34" s="170"/>
      <c r="XN34" s="170"/>
      <c r="XO34" s="170"/>
      <c r="XP34" s="171"/>
      <c r="XQ34" s="183"/>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1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17"/>
      <c r="D36" s="147" t="str">
        <f t="shared" si="0"/>
        <v>4h20min</v>
      </c>
      <c r="E36" s="27">
        <v>52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194"/>
      <c r="ADY36" s="194"/>
      <c r="ADZ36" s="194"/>
      <c r="AEA36" s="194"/>
      <c r="AEB36" s="194"/>
      <c r="AEC36" s="185"/>
      <c r="AED36" s="194"/>
      <c r="AEE36" s="194"/>
      <c r="AEF36" s="194"/>
      <c r="AEG36" s="194"/>
      <c r="AEH36" s="194"/>
      <c r="AEI36" s="196"/>
      <c r="AEJ36" s="193"/>
      <c r="AEK36" s="193"/>
      <c r="AEL36" s="193"/>
      <c r="AEM36" s="193"/>
      <c r="AEN36" s="194"/>
      <c r="AEO36" s="185"/>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192"/>
      <c r="AOU36" s="193"/>
      <c r="AOV36" s="193"/>
      <c r="AOW36" s="193"/>
      <c r="AOX36" s="194"/>
      <c r="AOY36" s="195"/>
      <c r="AOZ36" s="194"/>
      <c r="APA36" s="194"/>
      <c r="APB36" s="194"/>
      <c r="APC36" s="194"/>
      <c r="APD36" s="194"/>
      <c r="APE36" s="185"/>
      <c r="APF36" s="194"/>
      <c r="APG36" s="194"/>
      <c r="APH36" s="194"/>
      <c r="API36" s="194"/>
      <c r="APJ36" s="194"/>
      <c r="APK36" s="196"/>
      <c r="APL36" s="194"/>
      <c r="APM36" s="194"/>
      <c r="APN36" s="194"/>
      <c r="APO36" s="194"/>
      <c r="APP36" s="194"/>
      <c r="APQ36" s="185"/>
      <c r="APR36" s="194"/>
      <c r="APS36" s="194"/>
      <c r="APT36" s="194"/>
      <c r="APU36" s="194"/>
      <c r="APV36" s="194"/>
      <c r="APW36" s="196"/>
      <c r="APX36" s="193"/>
      <c r="APY36" s="193"/>
      <c r="APZ36" s="193"/>
      <c r="AQA36" s="193"/>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1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17"/>
      <c r="D38" s="148" t="str">
        <f t="shared" si="0"/>
        <v>5h</v>
      </c>
      <c r="E38" s="35">
        <v>60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171"/>
      <c r="UO38" s="171"/>
      <c r="UP38" s="171"/>
      <c r="UQ38" s="184"/>
      <c r="UR38" s="171"/>
      <c r="US38" s="171"/>
      <c r="UT38" s="171"/>
      <c r="UU38" s="171"/>
      <c r="UV38" s="171"/>
      <c r="UW38" s="183"/>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171"/>
      <c r="ZG38" s="184"/>
      <c r="ZH38" s="171"/>
      <c r="ZI38" s="171"/>
      <c r="ZJ38" s="171"/>
      <c r="ZK38" s="171"/>
      <c r="ZL38" s="171"/>
      <c r="ZM38" s="183"/>
      <c r="ZN38" s="171"/>
      <c r="ZO38" s="171"/>
      <c r="ZP38" s="171"/>
      <c r="ZQ38" s="171"/>
      <c r="ZR38" s="171"/>
      <c r="ZS38" s="184"/>
      <c r="ZT38" s="170"/>
      <c r="ZU38" s="170"/>
      <c r="ZV38" s="170"/>
      <c r="ZW38" s="170"/>
      <c r="ZX38" s="171"/>
      <c r="ZY38" s="183"/>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169"/>
      <c r="AAY38" s="170"/>
      <c r="AAZ38" s="170"/>
      <c r="ABA38" s="170"/>
      <c r="ABB38" s="171"/>
      <c r="ABC38" s="172"/>
      <c r="ABD38" s="171"/>
      <c r="ABE38" s="171"/>
      <c r="ABF38" s="171"/>
      <c r="ABG38" s="37"/>
      <c r="ABH38" s="37"/>
      <c r="ABI38" s="183"/>
      <c r="ABJ38" s="171"/>
      <c r="ABK38" s="171"/>
      <c r="ABL38" s="171"/>
      <c r="ABM38" s="171"/>
      <c r="ABN38" s="171"/>
      <c r="ABO38" s="184"/>
      <c r="ABP38" s="171"/>
      <c r="ABQ38" s="171"/>
      <c r="ABR38" s="171"/>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169"/>
      <c r="ADG38" s="170"/>
      <c r="ADH38" s="170"/>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169"/>
      <c r="ATK38" s="170"/>
      <c r="ATL38" s="170"/>
      <c r="ATM38" s="170"/>
      <c r="ATN38" s="171"/>
      <c r="ATO38" s="172"/>
      <c r="ATP38" s="171"/>
      <c r="ATQ38" s="171"/>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1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17"/>
      <c r="D40" s="147" t="str">
        <f t="shared" si="0"/>
        <v>1h15min</v>
      </c>
      <c r="E40" s="27">
        <v>15</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85"/>
      <c r="ABV40" s="194"/>
      <c r="ABW40" s="194"/>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194"/>
      <c r="ADM40" s="194"/>
      <c r="ADN40" s="194"/>
      <c r="ADO40" s="194"/>
      <c r="ADP40" s="194"/>
      <c r="ADQ40" s="185"/>
      <c r="ADR40" s="194"/>
      <c r="ADS40" s="194"/>
      <c r="ADT40" s="194"/>
      <c r="ADU40" s="194"/>
      <c r="ADV40" s="194"/>
      <c r="ADW40" s="196"/>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1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17"/>
      <c r="D42" s="148" t="str">
        <f t="shared" si="0"/>
        <v>1h45min</v>
      </c>
      <c r="E42" s="35">
        <v>21</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171"/>
      <c r="AET42" s="171"/>
      <c r="AEU42" s="184"/>
      <c r="AEV42" s="171"/>
      <c r="AEW42" s="171"/>
      <c r="AEX42" s="171"/>
      <c r="AEY42" s="171"/>
      <c r="AEZ42" s="37"/>
      <c r="AFA42" s="138"/>
      <c r="AFB42" s="37"/>
      <c r="AFC42" s="37"/>
      <c r="AFD42" s="37"/>
      <c r="AFE42" s="37"/>
      <c r="AFF42" s="37"/>
      <c r="AFG42" s="75"/>
      <c r="AFH42" s="37"/>
      <c r="AFI42" s="37"/>
      <c r="AFJ42" s="37"/>
      <c r="AFK42" s="37"/>
      <c r="AFL42" s="37"/>
      <c r="AFM42" s="38"/>
      <c r="AFN42" s="169"/>
      <c r="AFO42" s="170"/>
      <c r="AFP42" s="170"/>
      <c r="AFQ42" s="170"/>
      <c r="AFR42" s="171"/>
      <c r="AFS42" s="172"/>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170"/>
      <c r="AVU42" s="170"/>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170"/>
      <c r="BGE42" s="170"/>
      <c r="BGF42" s="171"/>
      <c r="BGG42" s="183"/>
      <c r="BGH42" s="171"/>
      <c r="BGI42" s="171"/>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1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17"/>
      <c r="D44" s="148" t="str">
        <f t="shared" si="0"/>
        <v>1h45min</v>
      </c>
      <c r="E44" s="35">
        <v>21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171"/>
      <c r="UY44" s="171"/>
      <c r="UZ44" s="171"/>
      <c r="VA44" s="171"/>
      <c r="VB44" s="171"/>
      <c r="VC44" s="184"/>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171"/>
      <c r="ABT44" s="171"/>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170"/>
      <c r="ADJ44" s="171"/>
      <c r="ADK44" s="172"/>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171"/>
      <c r="AUU44" s="171"/>
      <c r="AUV44" s="171"/>
      <c r="AUW44" s="171"/>
      <c r="AUX44" s="171"/>
      <c r="AUY44" s="184"/>
      <c r="AUZ44" s="171"/>
      <c r="AVA44" s="171"/>
      <c r="AVB44" s="171"/>
      <c r="AVC44" s="171"/>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1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17"/>
      <c r="D46" s="147" t="str">
        <f t="shared" si="0"/>
        <v>6h30min</v>
      </c>
      <c r="E46" s="35">
        <v>78</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69"/>
      <c r="PK46" s="170"/>
      <c r="PL46" s="170"/>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169"/>
      <c r="UA46" s="170"/>
      <c r="UB46" s="170"/>
      <c r="UC46" s="170"/>
      <c r="UD46" s="171"/>
      <c r="UE46" s="172"/>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169"/>
      <c r="WI46" s="170"/>
      <c r="WJ46" s="170"/>
      <c r="WK46" s="170"/>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171"/>
      <c r="AEQ46" s="171"/>
      <c r="AER46" s="171"/>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171"/>
      <c r="AFY46" s="183"/>
      <c r="AFZ46" s="171"/>
      <c r="AGA46" s="171"/>
      <c r="AGB46" s="171"/>
      <c r="AGC46" s="171"/>
      <c r="AGD46" s="171"/>
      <c r="AGE46" s="184"/>
      <c r="AGF46" s="171"/>
      <c r="AGG46" s="171"/>
      <c r="AGH46" s="171"/>
      <c r="AGI46" s="171"/>
      <c r="AGJ46" s="171"/>
      <c r="AGK46" s="183"/>
      <c r="AGL46" s="171"/>
      <c r="AGM46" s="171"/>
      <c r="AGN46" s="171"/>
      <c r="AGO46" s="171"/>
      <c r="AGP46" s="171"/>
      <c r="AGQ46" s="184"/>
      <c r="AGR46" s="170"/>
      <c r="AGS46" s="170"/>
      <c r="AGT46" s="170"/>
      <c r="AGU46" s="170"/>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171"/>
      <c r="ANO46" s="184"/>
      <c r="ANP46" s="170"/>
      <c r="ANQ46" s="170"/>
      <c r="ANR46" s="170"/>
      <c r="ANS46" s="170"/>
      <c r="ANT46" s="171"/>
      <c r="ANU46" s="183"/>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169"/>
      <c r="ARC46" s="170"/>
      <c r="ARD46" s="170"/>
      <c r="ARE46" s="170"/>
      <c r="ARF46" s="171"/>
      <c r="ARG46" s="172"/>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169"/>
      <c r="AVS46" s="170"/>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169"/>
      <c r="BEY46" s="170"/>
      <c r="BEZ46" s="170"/>
      <c r="BFA46" s="170"/>
      <c r="BFB46" s="171"/>
      <c r="BFC46" s="172"/>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171"/>
      <c r="BIG46" s="171"/>
      <c r="BIH46" s="171"/>
      <c r="BII46" s="184"/>
      <c r="BIJ46" s="170"/>
      <c r="BIK46" s="170"/>
      <c r="BIL46" s="170"/>
      <c r="BIM46" s="170"/>
      <c r="BIN46" s="171"/>
      <c r="BIO46" s="183"/>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171"/>
      <c r="BKA46" s="171"/>
      <c r="BKB46" s="171"/>
      <c r="BKC46" s="171"/>
      <c r="BKD46" s="171"/>
      <c r="BKE46" s="184"/>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1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17"/>
      <c r="D48" s="148" t="str">
        <f t="shared" si="0"/>
        <v>1h45min</v>
      </c>
      <c r="E48" s="27">
        <v>21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194"/>
      <c r="OM48" s="194"/>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194"/>
      <c r="RY48" s="194"/>
      <c r="RZ48" s="194"/>
      <c r="SA48" s="194"/>
      <c r="SB48" s="194"/>
      <c r="SC48" s="185"/>
      <c r="SD48" s="194"/>
      <c r="SE48" s="194"/>
      <c r="SF48" s="194"/>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194"/>
      <c r="AAA48" s="194"/>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194"/>
      <c r="AGY48" s="194"/>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192"/>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194"/>
      <c r="AQE48" s="194"/>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194"/>
      <c r="BKI48" s="194"/>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1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17"/>
      <c r="D50" s="148" t="str">
        <f t="shared" si="0"/>
        <v>0h30min</v>
      </c>
      <c r="E50" s="35">
        <v>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171"/>
      <c r="UI50" s="171"/>
      <c r="UJ50" s="171"/>
      <c r="UK50" s="183"/>
      <c r="UL50" s="171"/>
      <c r="UM50" s="171"/>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1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1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1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17"/>
      <c r="D54" s="148" t="str">
        <f t="shared" si="0"/>
        <v>1h40min</v>
      </c>
      <c r="E54" s="35">
        <v>20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170"/>
      <c r="AHX54" s="170"/>
      <c r="AHY54" s="170"/>
      <c r="AHZ54" s="171"/>
      <c r="AIA54" s="172"/>
      <c r="AIB54" s="171"/>
      <c r="AIC54" s="171"/>
      <c r="AID54" s="171"/>
      <c r="AIE54" s="171"/>
      <c r="AIF54" s="171"/>
      <c r="AIG54" s="183"/>
      <c r="AIH54" s="171"/>
      <c r="AII54" s="171"/>
      <c r="AIJ54" s="171"/>
      <c r="AIK54" s="171"/>
      <c r="AIL54" s="171"/>
      <c r="AIM54" s="184"/>
      <c r="AIN54" s="171"/>
      <c r="AIO54" s="171"/>
      <c r="AIP54" s="171"/>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1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17"/>
      <c r="D56" s="147" t="str">
        <f t="shared" si="0"/>
        <v>6h10min</v>
      </c>
      <c r="E56" s="27">
        <v>74</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194"/>
      <c r="AIR56" s="194"/>
      <c r="AIS56" s="185"/>
      <c r="AIT56" s="194"/>
      <c r="AIU56" s="194"/>
      <c r="AIV56" s="194"/>
      <c r="AIW56" s="194"/>
      <c r="AIX56" s="194"/>
      <c r="AIY56" s="196"/>
      <c r="AIZ56" s="193"/>
      <c r="AJA56" s="193"/>
      <c r="AJB56" s="193"/>
      <c r="AJC56" s="193"/>
      <c r="AJD56" s="194"/>
      <c r="AJE56" s="185"/>
      <c r="AJF56" s="194"/>
      <c r="AJG56" s="194"/>
      <c r="AJH56" s="194"/>
      <c r="AJI56" s="194"/>
      <c r="AJJ56" s="194"/>
      <c r="AJK56" s="196"/>
      <c r="AJL56" s="194"/>
      <c r="AJM56" s="194"/>
      <c r="AJN56" s="194"/>
      <c r="AJO56" s="194"/>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194"/>
      <c r="AKM56" s="194"/>
      <c r="AKN56" s="194"/>
      <c r="AKO56" s="185"/>
      <c r="AKP56" s="194"/>
      <c r="AKQ56" s="194"/>
      <c r="AKR56" s="194"/>
      <c r="AKS56" s="194"/>
      <c r="AKT56" s="194"/>
      <c r="AKU56" s="196"/>
      <c r="AKV56" s="194"/>
      <c r="AKW56" s="194"/>
      <c r="AKX56" s="194"/>
      <c r="AKY56" s="194"/>
      <c r="AKZ56" s="194"/>
      <c r="ALA56" s="185"/>
      <c r="ALB56" s="194"/>
      <c r="ALC56" s="194"/>
      <c r="ALD56" s="194"/>
      <c r="ALE56" s="194"/>
      <c r="ALF56" s="194"/>
      <c r="ALG56" s="196"/>
      <c r="ALH56" s="193"/>
      <c r="ALI56" s="193"/>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192"/>
      <c r="AMM56" s="193"/>
      <c r="AMN56" s="193"/>
      <c r="AMO56" s="193"/>
      <c r="AMP56" s="194"/>
      <c r="AMQ56" s="195"/>
      <c r="AMR56" s="194"/>
      <c r="AMS56" s="194"/>
      <c r="AMT56" s="194"/>
      <c r="AMU56" s="194"/>
      <c r="AMV56" s="194"/>
      <c r="AMW56" s="185"/>
      <c r="AMX56" s="194"/>
      <c r="AMY56" s="194"/>
      <c r="AMZ56" s="194"/>
      <c r="ANA56" s="29"/>
      <c r="ANB56" s="29"/>
      <c r="ANC56" s="73"/>
      <c r="AND56" s="194"/>
      <c r="ANE56" s="194"/>
      <c r="ANF56" s="194"/>
      <c r="ANG56" s="194"/>
      <c r="ANH56" s="194"/>
      <c r="ANI56" s="185"/>
      <c r="ANJ56" s="194"/>
      <c r="ANK56" s="194"/>
      <c r="ANL56" s="194"/>
      <c r="ANM56" s="194"/>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1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16"/>
      <c r="D58" s="148" t="str">
        <f t="shared" si="0"/>
        <v>1h</v>
      </c>
      <c r="E58" s="35">
        <v>12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171"/>
      <c r="BDO58" s="171"/>
      <c r="BDP58" s="171"/>
      <c r="BDQ58" s="171"/>
      <c r="BDR58" s="171"/>
      <c r="BDS58" s="184"/>
      <c r="BDT58" s="170"/>
      <c r="BDU58" s="170"/>
      <c r="BDV58" s="170"/>
      <c r="BDW58" s="170"/>
      <c r="BDX58" s="171"/>
      <c r="BDY58" s="183"/>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15" t="s">
        <v>179</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16"/>
      <c r="D60" s="148" t="str">
        <f t="shared" si="0"/>
        <v>2h</v>
      </c>
      <c r="E60" s="35">
        <v>24</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194"/>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192"/>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85"/>
      <c r="SP60" s="194"/>
      <c r="SQ60" s="194"/>
      <c r="SR60" s="194"/>
      <c r="SS60" s="194"/>
      <c r="ST60" s="194"/>
      <c r="SU60" s="196"/>
      <c r="SV60" s="193"/>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194"/>
      <c r="ABH60" s="194"/>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194"/>
      <c r="AFU60" s="194"/>
      <c r="AFV60" s="194"/>
      <c r="AFW60" s="194"/>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192"/>
      <c r="AKE60" s="193"/>
      <c r="AKF60" s="193"/>
      <c r="AKG60" s="193"/>
      <c r="AKH60" s="194"/>
      <c r="AKI60" s="195"/>
      <c r="AKJ60" s="194"/>
      <c r="AKK60" s="194"/>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1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1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1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1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1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1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1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1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1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1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1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1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1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1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1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1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1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1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1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1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1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1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1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1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1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1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1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1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1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1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1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1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1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7" t="s">
        <v>5</v>
      </c>
      <c r="D95" s="20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9"/>
      <c r="D96" s="21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11" t="s">
        <v>6</v>
      </c>
      <c r="D97" s="212"/>
      <c r="E97" s="118">
        <f>SUM(E16,E18,E20,E22,E24,E26,E28,E30,E32,E34,E36,E38,E40,E42,E44,E46,E48,E50,E52,E54,E56,E58,E60,E62,E64,E66,E68,E70,E72,E74,E76,E78,E80,E82,E84,E86,E88,E90,E92,E94)</f>
        <v>1066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3"/>
      <c r="D98" s="214"/>
      <c r="E98" s="122" t="str">
        <f xml:space="preserve"> setValueToTime(E97)</f>
        <v>88h50min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zoomScale="115" zoomScaleNormal="115" zoomScaleSheetLayoutView="98" zoomScalePageLayoutView="70" workbookViewId="0">
      <selection activeCell="G335" sqref="G33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7" t="s">
        <v>11</v>
      </c>
      <c r="F3" s="238"/>
      <c r="G3" s="46"/>
    </row>
    <row r="4" spans="1:7" s="52" customFormat="1" x14ac:dyDescent="0.3">
      <c r="A4" s="48" t="s">
        <v>13</v>
      </c>
      <c r="B4" s="49">
        <v>13</v>
      </c>
      <c r="C4" s="152" t="str">
        <f xml:space="preserve"> IF(B4="","",setValueToTime(B4))</f>
        <v>1h5min</v>
      </c>
      <c r="D4" s="50" t="s">
        <v>171</v>
      </c>
      <c r="E4" s="239"/>
      <c r="F4" s="240"/>
      <c r="G4" s="51"/>
    </row>
    <row r="5" spans="1:7" s="52" customFormat="1" x14ac:dyDescent="0.3">
      <c r="A5" s="53" t="s">
        <v>13</v>
      </c>
      <c r="B5" s="54">
        <v>6</v>
      </c>
      <c r="C5" s="153" t="str">
        <f t="shared" ref="C5:C11" si="0" xml:space="preserve"> IF(B5="","",setValueToTime(B5))</f>
        <v>0h30min</v>
      </c>
      <c r="D5" s="55" t="s">
        <v>96</v>
      </c>
      <c r="E5" s="231"/>
      <c r="F5" s="232"/>
      <c r="G5" s="51"/>
    </row>
    <row r="6" spans="1:7" s="52" customFormat="1" x14ac:dyDescent="0.3">
      <c r="A6" s="53" t="s">
        <v>14</v>
      </c>
      <c r="B6" s="54">
        <v>3</v>
      </c>
      <c r="C6" s="153" t="str">
        <f t="shared" si="0"/>
        <v>0h15min</v>
      </c>
      <c r="D6" s="55" t="s">
        <v>95</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26</v>
      </c>
      <c r="B12" s="84">
        <f>SUM(B4:B11)</f>
        <v>22</v>
      </c>
      <c r="C12" s="111" t="str">
        <f xml:space="preserve"> setValueToTime(B12)</f>
        <v>1h50min</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7" t="s">
        <v>11</v>
      </c>
      <c r="F15" s="238"/>
      <c r="G15" s="46"/>
    </row>
    <row r="16" spans="1:7" s="52" customFormat="1" x14ac:dyDescent="0.3">
      <c r="A16" s="48" t="s">
        <v>13</v>
      </c>
      <c r="B16" s="49">
        <v>6</v>
      </c>
      <c r="C16" s="152" t="str">
        <f xml:space="preserve"> IF(B16="","",setValueToTime(B16))</f>
        <v>0h30min</v>
      </c>
      <c r="D16" s="50" t="s">
        <v>169</v>
      </c>
      <c r="E16" s="239"/>
      <c r="F16" s="240"/>
      <c r="G16" s="51"/>
    </row>
    <row r="17" spans="1:7" s="52" customFormat="1" x14ac:dyDescent="0.3">
      <c r="A17" s="53" t="s">
        <v>13</v>
      </c>
      <c r="B17" s="54">
        <v>6</v>
      </c>
      <c r="C17" s="153" t="str">
        <f t="shared" ref="C17:C23" si="1" xml:space="preserve"> IF(B17="","",setValueToTime(B17))</f>
        <v>0h30min</v>
      </c>
      <c r="D17" s="55" t="s">
        <v>96</v>
      </c>
      <c r="E17" s="231"/>
      <c r="F17" s="232"/>
      <c r="G17" s="51"/>
    </row>
    <row r="18" spans="1:7" s="52" customFormat="1" x14ac:dyDescent="0.3">
      <c r="A18" s="53" t="s">
        <v>14</v>
      </c>
      <c r="B18" s="54">
        <v>3</v>
      </c>
      <c r="C18" s="153" t="str">
        <f t="shared" si="1"/>
        <v>0h15min</v>
      </c>
      <c r="D18" s="55" t="s">
        <v>95</v>
      </c>
      <c r="E18" s="231"/>
      <c r="F18" s="232"/>
      <c r="G18" s="51"/>
    </row>
    <row r="19" spans="1:7" s="52" customFormat="1" x14ac:dyDescent="0.3">
      <c r="A19" s="53" t="s">
        <v>156</v>
      </c>
      <c r="B19" s="54">
        <v>23</v>
      </c>
      <c r="C19" s="153" t="str">
        <f t="shared" si="1"/>
        <v>1h55min</v>
      </c>
      <c r="D19" s="55" t="s">
        <v>170</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26</v>
      </c>
      <c r="B24" s="84">
        <f>SUM(B16:B23)</f>
        <v>38</v>
      </c>
      <c r="C24" s="111" t="str">
        <f xml:space="preserve"> setValueToTime(B24)</f>
        <v>3h10min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7" t="s">
        <v>11</v>
      </c>
      <c r="F27" s="238"/>
      <c r="G27" s="46"/>
    </row>
    <row r="28" spans="1:7" s="52" customFormat="1" x14ac:dyDescent="0.3">
      <c r="A28" s="48" t="s">
        <v>14</v>
      </c>
      <c r="B28" s="49">
        <v>13</v>
      </c>
      <c r="C28" s="152" t="str">
        <f xml:space="preserve"> IF(B28="","",setValueToTime(B28))</f>
        <v>1h5min</v>
      </c>
      <c r="D28" s="50" t="s">
        <v>168</v>
      </c>
      <c r="E28" s="239"/>
      <c r="F28" s="240"/>
      <c r="G28" s="51"/>
    </row>
    <row r="29" spans="1:7" s="52" customFormat="1" x14ac:dyDescent="0.3">
      <c r="A29" s="53" t="s">
        <v>13</v>
      </c>
      <c r="B29" s="54">
        <v>6</v>
      </c>
      <c r="C29" s="153" t="str">
        <f t="shared" ref="C29:C35" si="2" xml:space="preserve"> IF(B29="","",setValueToTime(B29))</f>
        <v>0h30min</v>
      </c>
      <c r="D29" s="55" t="s">
        <v>96</v>
      </c>
      <c r="E29" s="231"/>
      <c r="F29" s="232"/>
      <c r="G29" s="51"/>
    </row>
    <row r="30" spans="1:7" s="52" customFormat="1" x14ac:dyDescent="0.3">
      <c r="A30" s="53" t="s">
        <v>14</v>
      </c>
      <c r="B30" s="54">
        <v>3</v>
      </c>
      <c r="C30" s="153" t="str">
        <f t="shared" si="2"/>
        <v>0h15min</v>
      </c>
      <c r="D30" s="55" t="s">
        <v>95</v>
      </c>
      <c r="E30" s="231"/>
      <c r="F30" s="232"/>
      <c r="G30" s="51"/>
    </row>
    <row r="31" spans="1:7" s="52" customFormat="1" x14ac:dyDescent="0.3">
      <c r="A31" s="53" t="s">
        <v>13</v>
      </c>
      <c r="B31" s="54">
        <v>16</v>
      </c>
      <c r="C31" s="153" t="str">
        <f t="shared" si="2"/>
        <v>1h20min</v>
      </c>
      <c r="D31" s="55" t="s">
        <v>163</v>
      </c>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26</v>
      </c>
      <c r="B36" s="84">
        <f>SUM(B28:B35)</f>
        <v>38</v>
      </c>
      <c r="C36" s="111" t="str">
        <f xml:space="preserve"> setValueToTime(B36)</f>
        <v>3h10min</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7" t="s">
        <v>11</v>
      </c>
      <c r="F39" s="238"/>
      <c r="G39" s="46"/>
    </row>
    <row r="40" spans="1:7" s="52" customFormat="1" x14ac:dyDescent="0.3">
      <c r="A40" s="48" t="s">
        <v>152</v>
      </c>
      <c r="B40" s="49">
        <v>9</v>
      </c>
      <c r="C40" s="152" t="str">
        <f xml:space="preserve"> IF(B40="","",setValueToTime(B40))</f>
        <v>0h45min</v>
      </c>
      <c r="D40" s="50" t="s">
        <v>167</v>
      </c>
      <c r="E40" s="239"/>
      <c r="F40" s="240"/>
      <c r="G40" s="51"/>
    </row>
    <row r="41" spans="1:7" s="52" customFormat="1" x14ac:dyDescent="0.3">
      <c r="A41" s="53" t="s">
        <v>13</v>
      </c>
      <c r="B41" s="54">
        <v>6</v>
      </c>
      <c r="C41" s="153" t="str">
        <f t="shared" ref="C41:C47" si="3" xml:space="preserve"> IF(B41="","",setValueToTime(B41))</f>
        <v>0h30min</v>
      </c>
      <c r="D41" s="55" t="s">
        <v>96</v>
      </c>
      <c r="E41" s="231"/>
      <c r="F41" s="232"/>
      <c r="G41" s="51"/>
    </row>
    <row r="42" spans="1:7" s="52" customFormat="1" x14ac:dyDescent="0.3">
      <c r="A42" s="53" t="s">
        <v>14</v>
      </c>
      <c r="B42" s="54">
        <v>3</v>
      </c>
      <c r="C42" s="153" t="str">
        <f t="shared" si="3"/>
        <v>0h15min</v>
      </c>
      <c r="D42" s="55" t="s">
        <v>95</v>
      </c>
      <c r="E42" s="231"/>
      <c r="F42" s="232"/>
      <c r="G42" s="51"/>
    </row>
    <row r="43" spans="1:7" s="52" customFormat="1" x14ac:dyDescent="0.3">
      <c r="A43" s="53" t="s">
        <v>152</v>
      </c>
      <c r="B43" s="54">
        <v>20</v>
      </c>
      <c r="C43" s="153" t="str">
        <f t="shared" si="3"/>
        <v>1h40min</v>
      </c>
      <c r="D43" s="55" t="s">
        <v>166</v>
      </c>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26</v>
      </c>
      <c r="B48" s="84">
        <f>SUM(B40:B47)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7" t="s">
        <v>11</v>
      </c>
      <c r="F51" s="238"/>
      <c r="G51" s="46"/>
    </row>
    <row r="52" spans="1:7" s="52" customFormat="1" x14ac:dyDescent="0.3">
      <c r="A52" s="48" t="s">
        <v>152</v>
      </c>
      <c r="B52" s="49">
        <v>29</v>
      </c>
      <c r="C52" s="152" t="str">
        <f xml:space="preserve"> IF(B52="","",setValueToTime(B52))</f>
        <v>2h25min</v>
      </c>
      <c r="D52" s="50" t="s">
        <v>164</v>
      </c>
      <c r="E52" s="239"/>
      <c r="F52" s="240"/>
      <c r="G52" s="51"/>
    </row>
    <row r="53" spans="1:7" s="52" customFormat="1" x14ac:dyDescent="0.3">
      <c r="A53" s="53" t="s">
        <v>13</v>
      </c>
      <c r="B53" s="54">
        <v>6</v>
      </c>
      <c r="C53" s="153" t="str">
        <f t="shared" ref="C53:C59" si="4" xml:space="preserve"> IF(B53="","",setValueToTime(B53))</f>
        <v>0h30min</v>
      </c>
      <c r="D53" s="55" t="s">
        <v>96</v>
      </c>
      <c r="E53" s="231"/>
      <c r="F53" s="232"/>
      <c r="G53" s="51"/>
    </row>
    <row r="54" spans="1:7" s="52" customFormat="1" x14ac:dyDescent="0.3">
      <c r="A54" s="53" t="s">
        <v>14</v>
      </c>
      <c r="B54" s="54">
        <v>3</v>
      </c>
      <c r="C54" s="153" t="str">
        <f t="shared" si="4"/>
        <v>0h15min</v>
      </c>
      <c r="D54" s="55" t="s">
        <v>95</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26</v>
      </c>
      <c r="B60" s="84">
        <f>SUM(B52:B59)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7" t="s">
        <v>11</v>
      </c>
      <c r="F63" s="238"/>
      <c r="G63" s="46"/>
    </row>
    <row r="64" spans="1:7" s="52" customFormat="1" ht="27" x14ac:dyDescent="0.3">
      <c r="A64" s="48" t="s">
        <v>129</v>
      </c>
      <c r="B64" s="49">
        <v>12</v>
      </c>
      <c r="C64" s="152" t="str">
        <f xml:space="preserve"> IF(B64="","",setValueToTime(B64))</f>
        <v>1h</v>
      </c>
      <c r="D64" s="50" t="s">
        <v>165</v>
      </c>
      <c r="E64" s="239"/>
      <c r="F64" s="240"/>
      <c r="G64" s="51"/>
    </row>
    <row r="65" spans="1:7" s="52" customFormat="1" x14ac:dyDescent="0.3">
      <c r="A65" s="53" t="s">
        <v>13</v>
      </c>
      <c r="B65" s="54">
        <v>6</v>
      </c>
      <c r="C65" s="153" t="str">
        <f t="shared" ref="C65:C71" si="5" xml:space="preserve"> IF(B65="","",setValueToTime(B65))</f>
        <v>0h30min</v>
      </c>
      <c r="D65" s="55" t="s">
        <v>96</v>
      </c>
      <c r="E65" s="231"/>
      <c r="F65" s="232"/>
      <c r="G65" s="51"/>
    </row>
    <row r="66" spans="1:7" s="52" customFormat="1" x14ac:dyDescent="0.3">
      <c r="A66" s="53" t="s">
        <v>14</v>
      </c>
      <c r="B66" s="54">
        <v>3</v>
      </c>
      <c r="C66" s="153" t="str">
        <f t="shared" si="5"/>
        <v>0h15min</v>
      </c>
      <c r="D66" s="55" t="s">
        <v>95</v>
      </c>
      <c r="E66" s="231"/>
      <c r="F66" s="232"/>
      <c r="G66" s="51"/>
    </row>
    <row r="67" spans="1:7" s="52" customFormat="1" x14ac:dyDescent="0.3">
      <c r="A67" s="53" t="s">
        <v>152</v>
      </c>
      <c r="B67" s="54">
        <v>27</v>
      </c>
      <c r="C67" s="153" t="str">
        <f t="shared" si="5"/>
        <v>2h15min</v>
      </c>
      <c r="D67" s="55" t="s">
        <v>164</v>
      </c>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26</v>
      </c>
      <c r="B72" s="84">
        <f>SUM(B64:B71)</f>
        <v>48</v>
      </c>
      <c r="C72" s="111" t="str">
        <f xml:space="preserve"> setValueToTime(B72)</f>
        <v>4h</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7" t="s">
        <v>11</v>
      </c>
      <c r="F75" s="238"/>
      <c r="G75" s="46"/>
    </row>
    <row r="76" spans="1:7" s="52" customFormat="1" x14ac:dyDescent="0.3">
      <c r="A76" s="48" t="s">
        <v>156</v>
      </c>
      <c r="B76" s="49">
        <v>29</v>
      </c>
      <c r="C76" s="152" t="str">
        <f xml:space="preserve"> IF(B76="","",setValueToTime(B76))</f>
        <v>2h25min</v>
      </c>
      <c r="D76" s="50" t="s">
        <v>162</v>
      </c>
      <c r="E76" s="239"/>
      <c r="F76" s="240"/>
      <c r="G76" s="51"/>
    </row>
    <row r="77" spans="1:7" s="52" customFormat="1" x14ac:dyDescent="0.3">
      <c r="A77" s="53" t="s">
        <v>13</v>
      </c>
      <c r="B77" s="54">
        <v>6</v>
      </c>
      <c r="C77" s="153" t="str">
        <f t="shared" ref="C77:C83" si="6" xml:space="preserve"> IF(B77="","",setValueToTime(B77))</f>
        <v>0h30min</v>
      </c>
      <c r="D77" s="55" t="s">
        <v>96</v>
      </c>
      <c r="E77" s="231"/>
      <c r="F77" s="232"/>
      <c r="G77" s="51"/>
    </row>
    <row r="78" spans="1:7" s="52" customFormat="1" x14ac:dyDescent="0.3">
      <c r="A78" s="53" t="s">
        <v>14</v>
      </c>
      <c r="B78" s="54">
        <v>3</v>
      </c>
      <c r="C78" s="153" t="str">
        <f t="shared" si="6"/>
        <v>0h15min</v>
      </c>
      <c r="D78" s="55" t="s">
        <v>95</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26</v>
      </c>
      <c r="B84" s="84">
        <f>SUM(B76:B83)</f>
        <v>38</v>
      </c>
      <c r="C84" s="111" t="str">
        <f xml:space="preserve"> setValueToTime(B84)</f>
        <v>3h10min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7" t="s">
        <v>11</v>
      </c>
      <c r="F87" s="238"/>
      <c r="G87" s="46"/>
    </row>
    <row r="88" spans="1:7" s="52" customFormat="1" x14ac:dyDescent="0.3">
      <c r="A88" s="48" t="s">
        <v>156</v>
      </c>
      <c r="B88" s="49">
        <v>12</v>
      </c>
      <c r="C88" s="152" t="str">
        <f xml:space="preserve"> IF(B88="","",setValueToTime(B88))</f>
        <v>1h</v>
      </c>
      <c r="D88" s="50" t="s">
        <v>159</v>
      </c>
      <c r="E88" s="239"/>
      <c r="F88" s="240"/>
      <c r="G88" s="51"/>
    </row>
    <row r="89" spans="1:7" s="52" customFormat="1" x14ac:dyDescent="0.3">
      <c r="A89" s="53" t="s">
        <v>13</v>
      </c>
      <c r="B89" s="54">
        <v>6</v>
      </c>
      <c r="C89" s="153" t="str">
        <f t="shared" ref="C89:C95" si="7" xml:space="preserve"> IF(B89="","",setValueToTime(B89))</f>
        <v>0h30min</v>
      </c>
      <c r="D89" s="55" t="s">
        <v>96</v>
      </c>
      <c r="E89" s="231"/>
      <c r="F89" s="232"/>
      <c r="G89" s="51"/>
    </row>
    <row r="90" spans="1:7" s="52" customFormat="1" x14ac:dyDescent="0.3">
      <c r="A90" s="53" t="s">
        <v>14</v>
      </c>
      <c r="B90" s="54">
        <v>3</v>
      </c>
      <c r="C90" s="153" t="str">
        <f t="shared" si="7"/>
        <v>0h15min</v>
      </c>
      <c r="D90" s="55" t="s">
        <v>95</v>
      </c>
      <c r="E90" s="231"/>
      <c r="F90" s="232"/>
      <c r="G90" s="51"/>
    </row>
    <row r="91" spans="1:7" s="52" customFormat="1" x14ac:dyDescent="0.3">
      <c r="A91" s="53" t="s">
        <v>156</v>
      </c>
      <c r="B91" s="54">
        <v>27</v>
      </c>
      <c r="C91" s="153" t="str">
        <f t="shared" si="7"/>
        <v>2h15min</v>
      </c>
      <c r="D91" s="55" t="s">
        <v>160</v>
      </c>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26</v>
      </c>
      <c r="B96" s="84">
        <f>SUM(B88:B95)</f>
        <v>48</v>
      </c>
      <c r="C96" s="111" t="str">
        <f xml:space="preserve"> setValueToTime(B96)</f>
        <v>4h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7" t="s">
        <v>11</v>
      </c>
      <c r="F99" s="238"/>
      <c r="G99" s="46"/>
    </row>
    <row r="100" spans="1:7" s="52" customFormat="1" x14ac:dyDescent="0.3">
      <c r="A100" s="48" t="s">
        <v>156</v>
      </c>
      <c r="B100" s="49">
        <v>7</v>
      </c>
      <c r="C100" s="152" t="str">
        <f xml:space="preserve"> IF(B100="","",setValueToTime(B100))</f>
        <v>0h35min</v>
      </c>
      <c r="D100" s="50" t="s">
        <v>157</v>
      </c>
      <c r="E100" s="239"/>
      <c r="F100" s="240"/>
      <c r="G100" s="51"/>
    </row>
    <row r="101" spans="1:7" s="52" customFormat="1" x14ac:dyDescent="0.3">
      <c r="A101" s="53" t="s">
        <v>13</v>
      </c>
      <c r="B101" s="54">
        <v>6</v>
      </c>
      <c r="C101" s="153" t="str">
        <f t="shared" ref="C101:C107" si="8" xml:space="preserve"> IF(B101="","",setValueToTime(B101))</f>
        <v>0h30min</v>
      </c>
      <c r="D101" s="55" t="s">
        <v>96</v>
      </c>
      <c r="E101" s="231"/>
      <c r="F101" s="232"/>
      <c r="G101" s="51"/>
    </row>
    <row r="102" spans="1:7" s="52" customFormat="1" x14ac:dyDescent="0.3">
      <c r="A102" s="53" t="s">
        <v>14</v>
      </c>
      <c r="B102" s="54">
        <v>3</v>
      </c>
      <c r="C102" s="153" t="str">
        <f t="shared" si="8"/>
        <v>0h15min</v>
      </c>
      <c r="D102" s="55" t="s">
        <v>95</v>
      </c>
      <c r="E102" s="231"/>
      <c r="F102" s="232"/>
      <c r="G102" s="51"/>
    </row>
    <row r="103" spans="1:7" s="52" customFormat="1" x14ac:dyDescent="0.3">
      <c r="A103" s="53" t="s">
        <v>156</v>
      </c>
      <c r="B103" s="54">
        <v>6</v>
      </c>
      <c r="C103" s="153" t="str">
        <f t="shared" si="8"/>
        <v>0h30min</v>
      </c>
      <c r="D103" s="55" t="s">
        <v>158</v>
      </c>
      <c r="E103" s="231"/>
      <c r="F103" s="232"/>
      <c r="G103" s="51"/>
    </row>
    <row r="104" spans="1:7" s="52" customFormat="1" ht="27" x14ac:dyDescent="0.3">
      <c r="A104" s="54" t="s">
        <v>156</v>
      </c>
      <c r="B104" s="54">
        <v>6</v>
      </c>
      <c r="C104" s="154" t="str">
        <f t="shared" si="8"/>
        <v>0h30min</v>
      </c>
      <c r="D104" s="55" t="s">
        <v>161</v>
      </c>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26</v>
      </c>
      <c r="B108" s="84">
        <f>SUM(B100:B107)</f>
        <v>28</v>
      </c>
      <c r="C108" s="111" t="str">
        <f xml:space="preserve"> setValueToTime(B108)</f>
        <v>2h20min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7" t="s">
        <v>11</v>
      </c>
      <c r="F111" s="238"/>
      <c r="G111" s="46"/>
    </row>
    <row r="112" spans="1:7" s="52" customFormat="1" x14ac:dyDescent="0.3">
      <c r="A112" s="48" t="s">
        <v>129</v>
      </c>
      <c r="B112" s="49">
        <v>6</v>
      </c>
      <c r="C112" s="152" t="str">
        <f xml:space="preserve"> IF(B112="","",setValueToTime(B112))</f>
        <v>0h30min</v>
      </c>
      <c r="D112" s="50" t="s">
        <v>151</v>
      </c>
      <c r="E112" s="239"/>
      <c r="F112" s="240"/>
      <c r="G112" s="51"/>
    </row>
    <row r="113" spans="1:7" s="52" customFormat="1" x14ac:dyDescent="0.3">
      <c r="A113" s="53" t="s">
        <v>13</v>
      </c>
      <c r="B113" s="54">
        <v>15</v>
      </c>
      <c r="C113" s="153" t="str">
        <f t="shared" ref="C113:C119" si="9" xml:space="preserve"> IF(B113="","",setValueToTime(B113))</f>
        <v>1h15min</v>
      </c>
      <c r="D113" s="55" t="s">
        <v>96</v>
      </c>
      <c r="E113" s="231"/>
      <c r="F113" s="232"/>
      <c r="G113" s="51"/>
    </row>
    <row r="114" spans="1:7" s="52" customFormat="1" x14ac:dyDescent="0.3">
      <c r="A114" s="53" t="s">
        <v>14</v>
      </c>
      <c r="B114" s="54">
        <v>3</v>
      </c>
      <c r="C114" s="153" t="str">
        <f t="shared" si="9"/>
        <v>0h15min</v>
      </c>
      <c r="D114" s="55" t="s">
        <v>95</v>
      </c>
      <c r="E114" s="231"/>
      <c r="F114" s="232"/>
      <c r="G114" s="51"/>
    </row>
    <row r="115" spans="1:7" s="52" customFormat="1" x14ac:dyDescent="0.3">
      <c r="A115" s="53" t="s">
        <v>152</v>
      </c>
      <c r="B115" s="54">
        <v>8</v>
      </c>
      <c r="C115" s="153" t="str">
        <f t="shared" si="9"/>
        <v>0h40min</v>
      </c>
      <c r="D115" s="55" t="s">
        <v>154</v>
      </c>
      <c r="E115" s="231"/>
      <c r="F115" s="232"/>
      <c r="G115" s="51"/>
    </row>
    <row r="116" spans="1:7" s="52" customFormat="1" x14ac:dyDescent="0.3">
      <c r="A116" s="54" t="s">
        <v>13</v>
      </c>
      <c r="B116" s="54">
        <v>6</v>
      </c>
      <c r="C116" s="154" t="str">
        <f t="shared" si="9"/>
        <v>0h30min</v>
      </c>
      <c r="D116" s="55" t="s">
        <v>155</v>
      </c>
      <c r="E116" s="231"/>
      <c r="F116" s="232"/>
      <c r="G116" s="51"/>
    </row>
    <row r="117" spans="1:7" s="52" customFormat="1" x14ac:dyDescent="0.3">
      <c r="A117" s="54" t="s">
        <v>100</v>
      </c>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26</v>
      </c>
      <c r="B120" s="84">
        <f>SUM(B112:B119)</f>
        <v>38</v>
      </c>
      <c r="C120" s="111" t="str">
        <f xml:space="preserve"> setValueToTime(B120)</f>
        <v>3h10min</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7" t="s">
        <v>11</v>
      </c>
      <c r="F123" s="238"/>
      <c r="G123" s="46"/>
    </row>
    <row r="124" spans="1:7" s="52" customFormat="1" x14ac:dyDescent="0.3">
      <c r="A124" s="48" t="s">
        <v>149</v>
      </c>
      <c r="B124" s="49">
        <v>29</v>
      </c>
      <c r="C124" s="152" t="str">
        <f xml:space="preserve"> IF(B124="","",setValueToTime(B124))</f>
        <v>2h25min</v>
      </c>
      <c r="D124" s="50" t="s">
        <v>150</v>
      </c>
      <c r="E124" s="239"/>
      <c r="F124" s="240"/>
      <c r="G124" s="51"/>
    </row>
    <row r="125" spans="1:7" s="52" customFormat="1" x14ac:dyDescent="0.3">
      <c r="A125" s="53" t="s">
        <v>13</v>
      </c>
      <c r="B125" s="54">
        <v>6</v>
      </c>
      <c r="C125" s="153" t="str">
        <f t="shared" ref="C125:C131" si="10" xml:space="preserve"> IF(B125="","",setValueToTime(B125))</f>
        <v>0h30min</v>
      </c>
      <c r="D125" s="55" t="s">
        <v>96</v>
      </c>
      <c r="E125" s="231"/>
      <c r="F125" s="232"/>
      <c r="G125" s="51"/>
    </row>
    <row r="126" spans="1:7" s="52" customFormat="1" x14ac:dyDescent="0.3">
      <c r="A126" s="53" t="s">
        <v>14</v>
      </c>
      <c r="B126" s="54">
        <v>3</v>
      </c>
      <c r="C126" s="153" t="str">
        <f t="shared" si="10"/>
        <v>0h15min</v>
      </c>
      <c r="D126" s="55" t="s">
        <v>95</v>
      </c>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26</v>
      </c>
      <c r="B132" s="84">
        <f>SUM(B124:B131)</f>
        <v>38</v>
      </c>
      <c r="C132" s="111" t="str">
        <f xml:space="preserve"> setValueToTime(B132)</f>
        <v>3h10min</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7" t="s">
        <v>11</v>
      </c>
      <c r="F135" s="238"/>
      <c r="G135" s="46"/>
    </row>
    <row r="136" spans="1:7" s="52" customFormat="1" ht="27" x14ac:dyDescent="0.3">
      <c r="A136" s="48" t="s">
        <v>129</v>
      </c>
      <c r="B136" s="49">
        <v>12</v>
      </c>
      <c r="C136" s="152" t="str">
        <f xml:space="preserve"> IF(B136="","",setValueToTime(B136))</f>
        <v>1h</v>
      </c>
      <c r="D136" s="50" t="s">
        <v>147</v>
      </c>
      <c r="E136" s="239"/>
      <c r="F136" s="240"/>
      <c r="G136" s="51"/>
    </row>
    <row r="137" spans="1:7" s="52" customFormat="1" x14ac:dyDescent="0.3">
      <c r="A137" s="53" t="s">
        <v>13</v>
      </c>
      <c r="B137" s="54">
        <v>6</v>
      </c>
      <c r="C137" s="153" t="str">
        <f t="shared" ref="C137:C143" si="11" xml:space="preserve"> IF(B137="","",setValueToTime(B137))</f>
        <v>0h30min</v>
      </c>
      <c r="D137" s="55" t="s">
        <v>96</v>
      </c>
      <c r="E137" s="231"/>
      <c r="F137" s="232"/>
      <c r="G137" s="51"/>
    </row>
    <row r="138" spans="1:7" s="52" customFormat="1" x14ac:dyDescent="0.3">
      <c r="A138" s="53" t="s">
        <v>14</v>
      </c>
      <c r="B138" s="54">
        <v>3</v>
      </c>
      <c r="C138" s="153" t="str">
        <f t="shared" si="11"/>
        <v>0h15min</v>
      </c>
      <c r="D138" s="55" t="s">
        <v>95</v>
      </c>
      <c r="E138" s="231"/>
      <c r="F138" s="232"/>
      <c r="G138" s="51"/>
    </row>
    <row r="139" spans="1:7" s="52" customFormat="1" x14ac:dyDescent="0.3">
      <c r="A139" s="53" t="s">
        <v>152</v>
      </c>
      <c r="B139" s="54">
        <v>17</v>
      </c>
      <c r="C139" s="153" t="str">
        <f t="shared" si="11"/>
        <v>1h25min</v>
      </c>
      <c r="D139" s="55" t="s">
        <v>148</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26</v>
      </c>
      <c r="B144" s="84">
        <f>SUM(B136:B143)</f>
        <v>38</v>
      </c>
      <c r="C144" s="111" t="str">
        <f xml:space="preserve"> setValueToTime(B144)</f>
        <v>3h10min</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7" t="s">
        <v>11</v>
      </c>
      <c r="F147" s="238"/>
      <c r="G147" s="46"/>
    </row>
    <row r="148" spans="1:7" s="52" customFormat="1" ht="40.5" x14ac:dyDescent="0.3">
      <c r="A148" s="48" t="s">
        <v>143</v>
      </c>
      <c r="B148" s="49">
        <v>39</v>
      </c>
      <c r="C148" s="152" t="str">
        <f xml:space="preserve"> IF(B148="","",setValueToTime(B148))</f>
        <v>3h15min</v>
      </c>
      <c r="D148" s="174" t="s">
        <v>144</v>
      </c>
      <c r="E148" s="239"/>
      <c r="F148" s="240"/>
      <c r="G148" s="51"/>
    </row>
    <row r="149" spans="1:7" s="52" customFormat="1" x14ac:dyDescent="0.3">
      <c r="A149" s="53" t="s">
        <v>13</v>
      </c>
      <c r="B149" s="54">
        <v>6</v>
      </c>
      <c r="C149" s="153" t="str">
        <f t="shared" ref="C149:C155" si="12" xml:space="preserve"> IF(B149="","",setValueToTime(B149))</f>
        <v>0h30min</v>
      </c>
      <c r="D149" s="55" t="s">
        <v>96</v>
      </c>
      <c r="E149" s="231"/>
      <c r="F149" s="232"/>
      <c r="G149" s="51"/>
    </row>
    <row r="150" spans="1:7" s="52" customFormat="1" x14ac:dyDescent="0.3">
      <c r="A150" s="53" t="s">
        <v>14</v>
      </c>
      <c r="B150" s="54">
        <v>3</v>
      </c>
      <c r="C150" s="153" t="str">
        <f t="shared" si="12"/>
        <v>0h15min</v>
      </c>
      <c r="D150" s="55" t="s">
        <v>95</v>
      </c>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26</v>
      </c>
      <c r="B156" s="84">
        <f>SUM(B148:B155)</f>
        <v>48</v>
      </c>
      <c r="C156" s="111" t="str">
        <f xml:space="preserve"> setValueToTime(B156)</f>
        <v>4h</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7" t="s">
        <v>11</v>
      </c>
      <c r="F159" s="238"/>
      <c r="G159" s="46"/>
    </row>
    <row r="160" spans="1:7" s="52" customFormat="1" x14ac:dyDescent="0.3">
      <c r="A160" s="48" t="s">
        <v>142</v>
      </c>
      <c r="B160" s="49">
        <v>9</v>
      </c>
      <c r="C160" s="152" t="str">
        <f xml:space="preserve"> IF(B160="","",setValueToTime(B160))</f>
        <v>0h45min</v>
      </c>
      <c r="D160" s="50" t="s">
        <v>146</v>
      </c>
      <c r="E160" s="239"/>
      <c r="F160" s="240"/>
      <c r="G160" s="51"/>
    </row>
    <row r="161" spans="1:7" s="52" customFormat="1" x14ac:dyDescent="0.3">
      <c r="A161" s="53" t="s">
        <v>13</v>
      </c>
      <c r="B161" s="54">
        <v>6</v>
      </c>
      <c r="C161" s="153" t="str">
        <f t="shared" ref="C161:C167" si="13" xml:space="preserve"> IF(B161="","",setValueToTime(B161))</f>
        <v>0h30min</v>
      </c>
      <c r="D161" s="55" t="s">
        <v>96</v>
      </c>
      <c r="E161" s="231"/>
      <c r="F161" s="232"/>
      <c r="G161" s="51"/>
    </row>
    <row r="162" spans="1:7" s="52" customFormat="1" x14ac:dyDescent="0.3">
      <c r="A162" s="53" t="s">
        <v>14</v>
      </c>
      <c r="B162" s="54">
        <v>3</v>
      </c>
      <c r="C162" s="153" t="str">
        <f t="shared" si="13"/>
        <v>0h15min</v>
      </c>
      <c r="D162" s="55" t="s">
        <v>95</v>
      </c>
      <c r="E162" s="231"/>
      <c r="F162" s="232"/>
      <c r="G162" s="51"/>
    </row>
    <row r="163" spans="1:7" s="52" customFormat="1" x14ac:dyDescent="0.3">
      <c r="A163" s="53" t="s">
        <v>142</v>
      </c>
      <c r="B163" s="54">
        <v>20</v>
      </c>
      <c r="C163" s="153" t="str">
        <f t="shared" si="13"/>
        <v>1h40min</v>
      </c>
      <c r="D163" s="55" t="s">
        <v>145</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26</v>
      </c>
      <c r="B168" s="84">
        <f>SUM(B160:B167)</f>
        <v>38</v>
      </c>
      <c r="C168" s="111" t="str">
        <f xml:space="preserve"> setValueToTime(B168)</f>
        <v>3h10min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7" t="s">
        <v>11</v>
      </c>
      <c r="F171" s="238"/>
      <c r="G171" s="46"/>
    </row>
    <row r="172" spans="1:7" s="52" customFormat="1" x14ac:dyDescent="0.3">
      <c r="A172" s="48" t="s">
        <v>172</v>
      </c>
      <c r="B172" s="49">
        <v>9</v>
      </c>
      <c r="C172" s="152" t="str">
        <f xml:space="preserve"> IF(B172="","",setValueToTime(B172))</f>
        <v>0h45min</v>
      </c>
      <c r="D172" s="50" t="s">
        <v>133</v>
      </c>
      <c r="E172" s="239"/>
      <c r="F172" s="240"/>
      <c r="G172" s="51"/>
    </row>
    <row r="173" spans="1:7" s="52" customFormat="1" x14ac:dyDescent="0.3">
      <c r="A173" s="53" t="s">
        <v>13</v>
      </c>
      <c r="B173" s="54">
        <v>6</v>
      </c>
      <c r="C173" s="153" t="str">
        <f t="shared" ref="C173:C179" si="14" xml:space="preserve"> IF(B173="","",setValueToTime(B173))</f>
        <v>0h30min</v>
      </c>
      <c r="D173" s="55" t="s">
        <v>96</v>
      </c>
      <c r="E173" s="231"/>
      <c r="F173" s="232"/>
      <c r="G173" s="51"/>
    </row>
    <row r="174" spans="1:7" s="52" customFormat="1" x14ac:dyDescent="0.3">
      <c r="A174" s="53" t="s">
        <v>14</v>
      </c>
      <c r="B174" s="54">
        <v>3</v>
      </c>
      <c r="C174" s="153" t="str">
        <f t="shared" si="14"/>
        <v>0h15min</v>
      </c>
      <c r="D174" s="55" t="s">
        <v>95</v>
      </c>
      <c r="E174" s="231"/>
      <c r="F174" s="232"/>
      <c r="G174" s="51"/>
    </row>
    <row r="175" spans="1:7" s="52" customFormat="1" x14ac:dyDescent="0.3">
      <c r="A175" s="53" t="s">
        <v>152</v>
      </c>
      <c r="B175" s="54">
        <v>9</v>
      </c>
      <c r="C175" s="153" t="str">
        <f t="shared" si="14"/>
        <v>0h45min</v>
      </c>
      <c r="D175" s="55" t="s">
        <v>153</v>
      </c>
      <c r="E175" s="231"/>
      <c r="F175" s="232"/>
      <c r="G175" s="51"/>
    </row>
    <row r="176" spans="1:7" s="52" customFormat="1" x14ac:dyDescent="0.3">
      <c r="A176" s="54" t="s">
        <v>139</v>
      </c>
      <c r="B176" s="54">
        <v>9</v>
      </c>
      <c r="C176" s="154" t="str">
        <f t="shared" si="14"/>
        <v>0h45min</v>
      </c>
      <c r="D176" s="55" t="s">
        <v>140</v>
      </c>
      <c r="E176" s="231"/>
      <c r="F176" s="232"/>
      <c r="G176" s="51"/>
    </row>
    <row r="177" spans="1:7" s="52" customFormat="1" x14ac:dyDescent="0.3">
      <c r="A177" s="54" t="s">
        <v>142</v>
      </c>
      <c r="B177" s="54">
        <v>12</v>
      </c>
      <c r="C177" s="154" t="str">
        <f t="shared" si="14"/>
        <v>1h</v>
      </c>
      <c r="D177" s="55" t="s">
        <v>141</v>
      </c>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26</v>
      </c>
      <c r="B180" s="84">
        <f>SUM(B172:B179)</f>
        <v>48</v>
      </c>
      <c r="C180" s="111" t="str">
        <f xml:space="preserve"> setValueToTime(B180)</f>
        <v>4h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7" t="s">
        <v>11</v>
      </c>
      <c r="F183" s="238"/>
      <c r="G183" s="46"/>
    </row>
    <row r="184" spans="1:7" s="52" customFormat="1" ht="27" x14ac:dyDescent="0.3">
      <c r="A184" s="48" t="s">
        <v>129</v>
      </c>
      <c r="B184" s="49">
        <v>3</v>
      </c>
      <c r="C184" s="152" t="str">
        <f xml:space="preserve"> IF(B184="","",setValueToTime(B184))</f>
        <v>0h15min</v>
      </c>
      <c r="D184" s="50" t="s">
        <v>130</v>
      </c>
      <c r="E184" s="239"/>
      <c r="F184" s="240"/>
      <c r="G184" s="51"/>
    </row>
    <row r="185" spans="1:7" s="52" customFormat="1" x14ac:dyDescent="0.3">
      <c r="A185" s="53" t="s">
        <v>13</v>
      </c>
      <c r="B185" s="54">
        <v>6</v>
      </c>
      <c r="C185" s="153" t="str">
        <f t="shared" ref="C185:C191" si="15" xml:space="preserve"> IF(B185="","",setValueToTime(B185))</f>
        <v>0h30min</v>
      </c>
      <c r="D185" s="55" t="s">
        <v>96</v>
      </c>
      <c r="E185" s="231"/>
      <c r="F185" s="232"/>
      <c r="G185" s="51"/>
    </row>
    <row r="186" spans="1:7" s="52" customFormat="1" x14ac:dyDescent="0.3">
      <c r="A186" s="53" t="s">
        <v>14</v>
      </c>
      <c r="B186" s="54">
        <v>3</v>
      </c>
      <c r="C186" s="153" t="str">
        <f t="shared" si="15"/>
        <v>0h15min</v>
      </c>
      <c r="D186" s="55" t="s">
        <v>95</v>
      </c>
      <c r="E186" s="231"/>
      <c r="F186" s="232"/>
      <c r="G186" s="51"/>
    </row>
    <row r="187" spans="1:7" s="52" customFormat="1" ht="27" x14ac:dyDescent="0.3">
      <c r="A187" s="53" t="s">
        <v>129</v>
      </c>
      <c r="B187" s="54">
        <v>6</v>
      </c>
      <c r="C187" s="153" t="str">
        <f t="shared" si="15"/>
        <v>0h30min</v>
      </c>
      <c r="D187" s="55" t="s">
        <v>131</v>
      </c>
      <c r="E187" s="231"/>
      <c r="F187" s="232"/>
      <c r="G187" s="51"/>
    </row>
    <row r="188" spans="1:7" s="52" customFormat="1" x14ac:dyDescent="0.3">
      <c r="A188" s="54" t="s">
        <v>152</v>
      </c>
      <c r="B188" s="54">
        <v>6</v>
      </c>
      <c r="C188" s="154" t="str">
        <f t="shared" si="15"/>
        <v>0h30min</v>
      </c>
      <c r="D188" s="55" t="s">
        <v>132</v>
      </c>
      <c r="E188" s="231"/>
      <c r="F188" s="232"/>
      <c r="G188" s="51"/>
    </row>
    <row r="189" spans="1:7" s="52" customFormat="1" x14ac:dyDescent="0.3">
      <c r="A189" s="54" t="s">
        <v>117</v>
      </c>
      <c r="B189" s="54">
        <v>4</v>
      </c>
      <c r="C189" s="154" t="str">
        <f t="shared" si="15"/>
        <v>0h20min</v>
      </c>
      <c r="D189" s="55" t="s">
        <v>137</v>
      </c>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26</v>
      </c>
      <c r="B192" s="84">
        <f>SUM(B184:B191)</f>
        <v>28</v>
      </c>
      <c r="C192" s="111" t="str">
        <f xml:space="preserve"> setValueToTime(B192)</f>
        <v>2h20min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7" t="s">
        <v>11</v>
      </c>
      <c r="F195" s="238"/>
      <c r="G195" s="46"/>
    </row>
    <row r="196" spans="1:7" s="52" customFormat="1" ht="40.5" x14ac:dyDescent="0.3">
      <c r="A196" s="48" t="s">
        <v>124</v>
      </c>
      <c r="B196" s="49">
        <v>9</v>
      </c>
      <c r="C196" s="152" t="str">
        <f xml:space="preserve"> IF(B196="","",setValueToTime(B196))</f>
        <v>0h45min</v>
      </c>
      <c r="D196" s="50" t="s">
        <v>125</v>
      </c>
      <c r="E196" s="239"/>
      <c r="F196" s="240"/>
      <c r="G196" s="51"/>
    </row>
    <row r="197" spans="1:7" s="52" customFormat="1" x14ac:dyDescent="0.3">
      <c r="A197" s="53" t="s">
        <v>13</v>
      </c>
      <c r="B197" s="54">
        <v>6</v>
      </c>
      <c r="C197" s="153" t="str">
        <f t="shared" ref="C197:C203" si="16" xml:space="preserve"> IF(B197="","",setValueToTime(B197))</f>
        <v>0h30min</v>
      </c>
      <c r="D197" s="55" t="s">
        <v>96</v>
      </c>
      <c r="E197" s="231"/>
      <c r="F197" s="232"/>
      <c r="G197" s="51"/>
    </row>
    <row r="198" spans="1:7" s="52" customFormat="1" x14ac:dyDescent="0.3">
      <c r="A198" s="53" t="s">
        <v>14</v>
      </c>
      <c r="B198" s="54">
        <v>3</v>
      </c>
      <c r="C198" s="153" t="str">
        <f t="shared" si="16"/>
        <v>0h15min</v>
      </c>
      <c r="D198" s="55" t="s">
        <v>95</v>
      </c>
      <c r="E198" s="231"/>
      <c r="F198" s="232"/>
      <c r="G198" s="51"/>
    </row>
    <row r="199" spans="1:7" s="52" customFormat="1" x14ac:dyDescent="0.3">
      <c r="A199" s="54" t="s">
        <v>117</v>
      </c>
      <c r="B199" s="54">
        <v>6</v>
      </c>
      <c r="C199" s="154" t="str">
        <f t="shared" si="16"/>
        <v>0h30min</v>
      </c>
      <c r="D199" s="55" t="s">
        <v>126</v>
      </c>
      <c r="E199" s="231"/>
      <c r="F199" s="232"/>
      <c r="G199" s="51"/>
    </row>
    <row r="200" spans="1:7" s="52" customFormat="1" ht="27" x14ac:dyDescent="0.3">
      <c r="A200" s="54" t="s">
        <v>124</v>
      </c>
      <c r="B200" s="54">
        <v>11</v>
      </c>
      <c r="C200" s="154" t="str">
        <f t="shared" si="16"/>
        <v>0h55min</v>
      </c>
      <c r="D200" s="55" t="s">
        <v>127</v>
      </c>
      <c r="E200" s="231"/>
      <c r="F200" s="232"/>
      <c r="G200" s="51"/>
    </row>
    <row r="201" spans="1:7" s="52" customFormat="1" ht="27" x14ac:dyDescent="0.3">
      <c r="A201" s="54" t="s">
        <v>124</v>
      </c>
      <c r="B201" s="54">
        <v>3</v>
      </c>
      <c r="C201" s="154" t="str">
        <f t="shared" si="16"/>
        <v>0h15min</v>
      </c>
      <c r="D201" s="55" t="s">
        <v>128</v>
      </c>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26</v>
      </c>
      <c r="B204" s="84">
        <f>SUM(B196:B203)</f>
        <v>38</v>
      </c>
      <c r="C204" s="111" t="str">
        <f xml:space="preserve"> setValueToTime(B204)</f>
        <v>3h10min</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7" t="s">
        <v>11</v>
      </c>
      <c r="F207" s="238"/>
      <c r="G207" s="46"/>
    </row>
    <row r="208" spans="1:7" s="52" customFormat="1" ht="27" x14ac:dyDescent="0.3">
      <c r="A208" s="48" t="s">
        <v>116</v>
      </c>
      <c r="B208" s="49">
        <v>12</v>
      </c>
      <c r="C208" s="152" t="str">
        <f xml:space="preserve"> IF(B208="","",setValueToTime(B208))</f>
        <v>1h</v>
      </c>
      <c r="D208" s="50" t="s">
        <v>118</v>
      </c>
      <c r="E208" s="239"/>
      <c r="F208" s="240"/>
      <c r="G208" s="51"/>
    </row>
    <row r="209" spans="1:7" s="52" customFormat="1" x14ac:dyDescent="0.3">
      <c r="A209" s="53" t="s">
        <v>13</v>
      </c>
      <c r="B209" s="54">
        <v>6</v>
      </c>
      <c r="C209" s="153" t="str">
        <f t="shared" ref="C209:C215" si="17" xml:space="preserve"> IF(B209="","",setValueToTime(B209))</f>
        <v>0h30min</v>
      </c>
      <c r="D209" s="55" t="s">
        <v>96</v>
      </c>
      <c r="E209" s="231"/>
      <c r="F209" s="232"/>
      <c r="G209" s="51"/>
    </row>
    <row r="210" spans="1:7" s="52" customFormat="1" x14ac:dyDescent="0.3">
      <c r="A210" s="53" t="s">
        <v>14</v>
      </c>
      <c r="B210" s="54">
        <v>3</v>
      </c>
      <c r="C210" s="153" t="str">
        <f t="shared" si="17"/>
        <v>0h15min</v>
      </c>
      <c r="D210" s="55" t="s">
        <v>95</v>
      </c>
      <c r="E210" s="231"/>
      <c r="F210" s="232"/>
      <c r="G210" s="51"/>
    </row>
    <row r="211" spans="1:7" s="52" customFormat="1" ht="27" x14ac:dyDescent="0.3">
      <c r="A211" s="53" t="s">
        <v>116</v>
      </c>
      <c r="B211" s="54">
        <v>17</v>
      </c>
      <c r="C211" s="153" t="str">
        <f t="shared" si="17"/>
        <v>1h25min</v>
      </c>
      <c r="D211" s="55" t="s">
        <v>119</v>
      </c>
      <c r="E211" s="231"/>
      <c r="F211" s="232"/>
      <c r="G211" s="51"/>
    </row>
    <row r="212" spans="1:7" s="52" customFormat="1" x14ac:dyDescent="0.3">
      <c r="A212" s="54" t="s">
        <v>100</v>
      </c>
      <c r="B212" s="54"/>
      <c r="C212" s="154" t="str">
        <f xml:space="preserve"> IF(B212="","",setValueToTime(B212))</f>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26</v>
      </c>
      <c r="B216" s="84">
        <f>SUM(B208:B215)</f>
        <v>38</v>
      </c>
      <c r="C216" s="111" t="str">
        <f xml:space="preserve"> setValueToTime(B216)</f>
        <v>3h10min</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7" t="s">
        <v>11</v>
      </c>
      <c r="F219" s="238"/>
      <c r="G219" s="46"/>
    </row>
    <row r="220" spans="1:7" s="52" customFormat="1" ht="27" x14ac:dyDescent="0.3">
      <c r="A220" s="48" t="s">
        <v>117</v>
      </c>
      <c r="B220" s="49">
        <v>8</v>
      </c>
      <c r="C220" s="152" t="str">
        <f xml:space="preserve"> IF(B220="","",setValueToTime(B220))</f>
        <v>0h40min</v>
      </c>
      <c r="D220" s="50" t="s">
        <v>134</v>
      </c>
      <c r="E220" s="239"/>
      <c r="F220" s="240"/>
      <c r="G220" s="51"/>
    </row>
    <row r="221" spans="1:7" s="52" customFormat="1" x14ac:dyDescent="0.3">
      <c r="A221" s="53" t="s">
        <v>13</v>
      </c>
      <c r="B221" s="54">
        <v>6</v>
      </c>
      <c r="C221" s="153" t="str">
        <f t="shared" ref="C221:C227" si="18" xml:space="preserve"> IF(B221="","",setValueToTime(B221))</f>
        <v>0h30min</v>
      </c>
      <c r="D221" s="55" t="s">
        <v>96</v>
      </c>
      <c r="E221" s="231"/>
      <c r="F221" s="232"/>
      <c r="G221" s="51"/>
    </row>
    <row r="222" spans="1:7" s="52" customFormat="1" x14ac:dyDescent="0.3">
      <c r="A222" s="53" t="s">
        <v>14</v>
      </c>
      <c r="B222" s="54">
        <v>3</v>
      </c>
      <c r="C222" s="153" t="str">
        <f t="shared" si="18"/>
        <v>0h15min</v>
      </c>
      <c r="D222" s="55" t="s">
        <v>95</v>
      </c>
      <c r="E222" s="231"/>
      <c r="F222" s="232"/>
      <c r="G222" s="51"/>
    </row>
    <row r="223" spans="1:7" s="52" customFormat="1" x14ac:dyDescent="0.3">
      <c r="A223" s="53" t="s">
        <v>117</v>
      </c>
      <c r="B223" s="54">
        <v>6</v>
      </c>
      <c r="C223" s="153" t="str">
        <f t="shared" si="18"/>
        <v>0h30min</v>
      </c>
      <c r="D223" s="55" t="s">
        <v>120</v>
      </c>
      <c r="E223" s="231"/>
      <c r="F223" s="232"/>
      <c r="G223" s="51"/>
    </row>
    <row r="224" spans="1:7" s="52" customFormat="1" x14ac:dyDescent="0.3">
      <c r="A224" s="54" t="s">
        <v>117</v>
      </c>
      <c r="B224" s="54">
        <v>3</v>
      </c>
      <c r="C224" s="154" t="str">
        <f t="shared" si="18"/>
        <v>0h15min</v>
      </c>
      <c r="D224" s="55" t="s">
        <v>121</v>
      </c>
      <c r="E224" s="231"/>
      <c r="F224" s="232"/>
      <c r="G224" s="51"/>
    </row>
    <row r="225" spans="1:7" s="52" customFormat="1" x14ac:dyDescent="0.3">
      <c r="A225" s="54" t="s">
        <v>117</v>
      </c>
      <c r="B225" s="54">
        <v>3</v>
      </c>
      <c r="C225" s="154" t="str">
        <f t="shared" si="18"/>
        <v>0h15min</v>
      </c>
      <c r="D225" s="55" t="s">
        <v>122</v>
      </c>
      <c r="E225" s="231"/>
      <c r="F225" s="232"/>
      <c r="G225" s="51"/>
    </row>
    <row r="226" spans="1:7" s="52" customFormat="1" x14ac:dyDescent="0.3">
      <c r="A226" s="54" t="s">
        <v>117</v>
      </c>
      <c r="B226" s="54">
        <v>6</v>
      </c>
      <c r="C226" s="154" t="str">
        <f t="shared" si="18"/>
        <v>0h30min</v>
      </c>
      <c r="D226" s="55" t="s">
        <v>123</v>
      </c>
      <c r="E226" s="231"/>
      <c r="F226" s="232"/>
      <c r="G226" s="51"/>
    </row>
    <row r="227" spans="1:7" s="52" customFormat="1" ht="15" thickBot="1" x14ac:dyDescent="0.35">
      <c r="A227" s="56" t="s">
        <v>117</v>
      </c>
      <c r="B227" s="56">
        <v>3</v>
      </c>
      <c r="C227" s="155" t="str">
        <f t="shared" si="18"/>
        <v>0h15min</v>
      </c>
      <c r="D227" s="57" t="s">
        <v>138</v>
      </c>
      <c r="E227" s="233"/>
      <c r="F227" s="234"/>
      <c r="G227" s="51"/>
    </row>
    <row r="228" spans="1:7" s="52" customFormat="1" ht="15" thickBot="1" x14ac:dyDescent="0.35">
      <c r="A228" s="111" t="s">
        <v>26</v>
      </c>
      <c r="B228" s="84">
        <f>SUM(B220:B227)</f>
        <v>38</v>
      </c>
      <c r="C228" s="111" t="str">
        <f xml:space="preserve"> setValueToTime(B228)</f>
        <v>3h10min</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7" t="s">
        <v>11</v>
      </c>
      <c r="F231" s="238"/>
      <c r="G231" s="46"/>
    </row>
    <row r="232" spans="1:7" s="52" customFormat="1" x14ac:dyDescent="0.3">
      <c r="A232" s="48" t="s">
        <v>113</v>
      </c>
      <c r="B232" s="49">
        <v>17</v>
      </c>
      <c r="C232" s="152" t="str">
        <f xml:space="preserve"> IF(B232="","",setValueToTime(B232))</f>
        <v>1h25min</v>
      </c>
      <c r="D232" s="50" t="s">
        <v>115</v>
      </c>
      <c r="E232" s="239"/>
      <c r="F232" s="240"/>
      <c r="G232" s="51"/>
    </row>
    <row r="233" spans="1:7" s="52" customFormat="1" x14ac:dyDescent="0.3">
      <c r="A233" s="53" t="s">
        <v>13</v>
      </c>
      <c r="B233" s="54">
        <v>6</v>
      </c>
      <c r="C233" s="153" t="str">
        <f t="shared" ref="C233:C239" si="19" xml:space="preserve"> IF(B233="","",setValueToTime(B233))</f>
        <v>0h30min</v>
      </c>
      <c r="D233" s="55" t="s">
        <v>96</v>
      </c>
      <c r="E233" s="231"/>
      <c r="F233" s="232"/>
      <c r="G233" s="51"/>
    </row>
    <row r="234" spans="1:7" s="52" customFormat="1" x14ac:dyDescent="0.3">
      <c r="A234" s="53" t="s">
        <v>14</v>
      </c>
      <c r="B234" s="54">
        <v>3</v>
      </c>
      <c r="C234" s="153" t="str">
        <f xml:space="preserve"> IF(B234="","",setValueToTime(B234))</f>
        <v>0h15min</v>
      </c>
      <c r="D234" s="55" t="s">
        <v>95</v>
      </c>
      <c r="E234" s="231"/>
      <c r="F234" s="232"/>
      <c r="G234" s="51"/>
    </row>
    <row r="235" spans="1:7" s="52" customFormat="1" ht="27" x14ac:dyDescent="0.3">
      <c r="A235" s="53" t="s">
        <v>135</v>
      </c>
      <c r="B235" s="54">
        <v>12</v>
      </c>
      <c r="C235" s="153" t="str">
        <f t="shared" si="19"/>
        <v>1h</v>
      </c>
      <c r="D235" s="55" t="s">
        <v>136</v>
      </c>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26</v>
      </c>
      <c r="B240" s="84">
        <f>SUM(B232:B239)</f>
        <v>38</v>
      </c>
      <c r="C240" s="111" t="str">
        <f xml:space="preserve"> setValueToTime(B240)</f>
        <v>3h10min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7" t="s">
        <v>11</v>
      </c>
      <c r="F243" s="238"/>
      <c r="G243" s="46"/>
    </row>
    <row r="244" spans="1:7" s="52" customFormat="1" x14ac:dyDescent="0.3">
      <c r="A244" s="48" t="s">
        <v>112</v>
      </c>
      <c r="B244" s="49">
        <v>9</v>
      </c>
      <c r="C244" s="152" t="str">
        <f xml:space="preserve"> IF(B244="","",setValueToTime(B244))</f>
        <v>0h45min</v>
      </c>
      <c r="D244" s="50" t="s">
        <v>110</v>
      </c>
      <c r="E244" s="239"/>
      <c r="F244" s="240"/>
      <c r="G244" s="51"/>
    </row>
    <row r="245" spans="1:7" s="52" customFormat="1" x14ac:dyDescent="0.3">
      <c r="A245" s="53" t="s">
        <v>13</v>
      </c>
      <c r="B245" s="54">
        <v>6</v>
      </c>
      <c r="C245" s="153" t="str">
        <f t="shared" ref="C245:C251" si="20" xml:space="preserve"> IF(B245="","",setValueToTime(B245))</f>
        <v>0h30min</v>
      </c>
      <c r="D245" s="55" t="s">
        <v>96</v>
      </c>
      <c r="E245" s="231"/>
      <c r="F245" s="232"/>
      <c r="G245" s="51"/>
    </row>
    <row r="246" spans="1:7" s="52" customFormat="1" x14ac:dyDescent="0.3">
      <c r="A246" s="53" t="s">
        <v>14</v>
      </c>
      <c r="B246" s="54">
        <v>3</v>
      </c>
      <c r="C246" s="153" t="str">
        <f t="shared" si="20"/>
        <v>0h15min</v>
      </c>
      <c r="D246" s="55" t="s">
        <v>95</v>
      </c>
      <c r="E246" s="231"/>
      <c r="F246" s="232"/>
      <c r="G246" s="51"/>
    </row>
    <row r="247" spans="1:7" s="52" customFormat="1" x14ac:dyDescent="0.3">
      <c r="A247" s="53" t="s">
        <v>112</v>
      </c>
      <c r="B247" s="54">
        <v>3</v>
      </c>
      <c r="C247" s="153" t="str">
        <f t="shared" si="20"/>
        <v>0h15min</v>
      </c>
      <c r="D247" s="55" t="s">
        <v>111</v>
      </c>
      <c r="E247" s="231"/>
      <c r="F247" s="232"/>
      <c r="G247" s="51"/>
    </row>
    <row r="248" spans="1:7" s="52" customFormat="1" x14ac:dyDescent="0.3">
      <c r="A248" s="54" t="s">
        <v>112</v>
      </c>
      <c r="B248" s="54">
        <v>7</v>
      </c>
      <c r="C248" s="154" t="str">
        <f t="shared" si="20"/>
        <v>0h35min</v>
      </c>
      <c r="D248" s="55" t="s">
        <v>114</v>
      </c>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26</v>
      </c>
      <c r="B252" s="84">
        <f>SUM(B244:B251)</f>
        <v>28</v>
      </c>
      <c r="C252" s="111" t="str">
        <f xml:space="preserve"> setValueToTime(B252)</f>
        <v>2h20min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7" t="s">
        <v>11</v>
      </c>
      <c r="F255" s="238"/>
      <c r="G255" s="46"/>
    </row>
    <row r="256" spans="1:7" s="52" customFormat="1" ht="27" x14ac:dyDescent="0.3">
      <c r="A256" s="48" t="s">
        <v>112</v>
      </c>
      <c r="B256" s="49">
        <v>10</v>
      </c>
      <c r="C256" s="152" t="str">
        <f xml:space="preserve"> IF(B256="","",setValueToTime(B256))</f>
        <v>0h50min</v>
      </c>
      <c r="D256" s="50" t="s">
        <v>103</v>
      </c>
      <c r="E256" s="239"/>
      <c r="F256" s="240"/>
      <c r="G256" s="51"/>
    </row>
    <row r="257" spans="1:7" s="52" customFormat="1" x14ac:dyDescent="0.3">
      <c r="A257" s="53" t="s">
        <v>13</v>
      </c>
      <c r="B257" s="54">
        <v>6</v>
      </c>
      <c r="C257" s="153" t="str">
        <f t="shared" ref="C257:C263" si="21" xml:space="preserve"> IF(B257="","",setValueToTime(B257))</f>
        <v>0h30min</v>
      </c>
      <c r="D257" s="55" t="s">
        <v>96</v>
      </c>
      <c r="E257" s="231"/>
      <c r="F257" s="232"/>
      <c r="G257" s="51"/>
    </row>
    <row r="258" spans="1:7" s="52" customFormat="1" x14ac:dyDescent="0.3">
      <c r="A258" s="53" t="s">
        <v>14</v>
      </c>
      <c r="B258" s="54">
        <v>3</v>
      </c>
      <c r="C258" s="153" t="str">
        <f t="shared" si="21"/>
        <v>0h15min</v>
      </c>
      <c r="D258" s="55" t="s">
        <v>95</v>
      </c>
      <c r="E258" s="231"/>
      <c r="F258" s="232"/>
      <c r="G258" s="51"/>
    </row>
    <row r="259" spans="1:7" s="52" customFormat="1" ht="27" x14ac:dyDescent="0.3">
      <c r="A259" s="53" t="s">
        <v>112</v>
      </c>
      <c r="B259" s="54">
        <v>9</v>
      </c>
      <c r="C259" s="153" t="str">
        <f t="shared" si="21"/>
        <v>0h45min</v>
      </c>
      <c r="D259" s="55" t="s">
        <v>105</v>
      </c>
      <c r="E259" s="231"/>
      <c r="F259" s="232"/>
      <c r="G259" s="51"/>
    </row>
    <row r="260" spans="1:7" s="52" customFormat="1" x14ac:dyDescent="0.3">
      <c r="A260" s="54" t="s">
        <v>112</v>
      </c>
      <c r="B260" s="54">
        <v>10</v>
      </c>
      <c r="C260" s="154" t="str">
        <f t="shared" si="21"/>
        <v>0h50min</v>
      </c>
      <c r="D260" s="55" t="s">
        <v>109</v>
      </c>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26</v>
      </c>
      <c r="B264" s="84">
        <f>SUM(B256:B263)</f>
        <v>38</v>
      </c>
      <c r="C264" s="111" t="str">
        <f xml:space="preserve"> setValueToTime(B264)</f>
        <v>3h10min</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7" t="s">
        <v>11</v>
      </c>
      <c r="F267" s="238"/>
      <c r="G267" s="46"/>
    </row>
    <row r="268" spans="1:7" s="52" customFormat="1" ht="27" x14ac:dyDescent="0.3">
      <c r="A268" s="48" t="s">
        <v>112</v>
      </c>
      <c r="B268" s="49">
        <v>14</v>
      </c>
      <c r="C268" s="152" t="str">
        <f xml:space="preserve"> IF(B268="","",setValueToTime(B268))</f>
        <v>1h10min</v>
      </c>
      <c r="D268" s="174" t="s">
        <v>107</v>
      </c>
      <c r="E268" s="239"/>
      <c r="F268" s="240"/>
      <c r="G268" s="51"/>
    </row>
    <row r="269" spans="1:7" s="52" customFormat="1" x14ac:dyDescent="0.3">
      <c r="A269" s="53" t="s">
        <v>13</v>
      </c>
      <c r="B269" s="54">
        <v>6</v>
      </c>
      <c r="C269" s="153" t="str">
        <f t="shared" ref="C269:C275" si="22" xml:space="preserve"> IF(B269="","",setValueToTime(B269))</f>
        <v>0h30min</v>
      </c>
      <c r="D269" s="55" t="s">
        <v>96</v>
      </c>
      <c r="E269" s="231"/>
      <c r="F269" s="232"/>
      <c r="G269" s="51"/>
    </row>
    <row r="270" spans="1:7" s="52" customFormat="1" x14ac:dyDescent="0.3">
      <c r="A270" s="53" t="s">
        <v>14</v>
      </c>
      <c r="B270" s="54">
        <v>3</v>
      </c>
      <c r="C270" s="153" t="str">
        <f t="shared" si="22"/>
        <v>0h15min</v>
      </c>
      <c r="D270" s="55" t="s">
        <v>95</v>
      </c>
      <c r="E270" s="231"/>
      <c r="F270" s="232"/>
      <c r="G270" s="51"/>
    </row>
    <row r="271" spans="1:7" s="52" customFormat="1" x14ac:dyDescent="0.3">
      <c r="A271" s="53" t="s">
        <v>112</v>
      </c>
      <c r="B271" s="54">
        <v>9</v>
      </c>
      <c r="C271" s="153" t="str">
        <f t="shared" si="22"/>
        <v>0h45min</v>
      </c>
      <c r="D271" s="55" t="s">
        <v>101</v>
      </c>
      <c r="E271" s="231"/>
      <c r="F271" s="232"/>
      <c r="G271" s="51"/>
    </row>
    <row r="272" spans="1:7" s="52" customFormat="1" x14ac:dyDescent="0.3">
      <c r="A272" s="54" t="s">
        <v>112</v>
      </c>
      <c r="B272" s="54">
        <v>6</v>
      </c>
      <c r="C272" s="154" t="str">
        <f t="shared" si="22"/>
        <v>0h30min</v>
      </c>
      <c r="D272" s="55" t="s">
        <v>102</v>
      </c>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26</v>
      </c>
      <c r="B276" s="84">
        <f>SUM(B268:B275)</f>
        <v>38</v>
      </c>
      <c r="C276" s="111" t="str">
        <f xml:space="preserve"> setValueToTime(B276)</f>
        <v>3h10min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7" t="s">
        <v>11</v>
      </c>
      <c r="F279" s="238"/>
      <c r="G279" s="46"/>
    </row>
    <row r="280" spans="1:7" s="52" customFormat="1" ht="27" x14ac:dyDescent="0.3">
      <c r="A280" s="48" t="s">
        <v>97</v>
      </c>
      <c r="B280" s="49">
        <v>14</v>
      </c>
      <c r="C280" s="152" t="str">
        <f xml:space="preserve"> IF(B280="","",setValueToTime(B280))</f>
        <v>1h10min</v>
      </c>
      <c r="D280" s="50" t="s">
        <v>98</v>
      </c>
      <c r="E280" s="239"/>
      <c r="F280" s="240"/>
      <c r="G280" s="51"/>
    </row>
    <row r="281" spans="1:7" s="52" customFormat="1" x14ac:dyDescent="0.3">
      <c r="A281" s="53" t="s">
        <v>13</v>
      </c>
      <c r="B281" s="54">
        <v>21</v>
      </c>
      <c r="C281" s="153" t="str">
        <f t="shared" ref="C281:C287" si="23" xml:space="preserve"> IF(B281="","",setValueToTime(B281))</f>
        <v>1h45min</v>
      </c>
      <c r="D281" s="173" t="s">
        <v>99</v>
      </c>
      <c r="E281" s="231"/>
      <c r="F281" s="232"/>
      <c r="G281" s="51"/>
    </row>
    <row r="282" spans="1:7" s="52" customFormat="1" x14ac:dyDescent="0.3">
      <c r="A282" s="53" t="s">
        <v>14</v>
      </c>
      <c r="B282" s="54">
        <v>3</v>
      </c>
      <c r="C282" s="153" t="str">
        <f t="shared" si="23"/>
        <v>0h15min</v>
      </c>
      <c r="D282" s="55" t="s">
        <v>95</v>
      </c>
      <c r="E282" s="231"/>
      <c r="F282" s="232"/>
      <c r="G282" s="51"/>
    </row>
    <row r="283" spans="1:7" s="52" customFormat="1" x14ac:dyDescent="0.3">
      <c r="A283" s="53"/>
      <c r="B283" s="54"/>
      <c r="C283" s="153" t="str">
        <f xml:space="preserve"> IF(B283="","",setValueToTime(B283))</f>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26</v>
      </c>
      <c r="B288" s="84">
        <f>SUM(B280:B287)</f>
        <v>38</v>
      </c>
      <c r="C288" s="111" t="str">
        <f xml:space="preserve"> setValueToTime(B288)</f>
        <v>3h10min</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7" t="s">
        <v>11</v>
      </c>
      <c r="F291" s="238"/>
      <c r="G291" s="46"/>
    </row>
    <row r="292" spans="1:7" s="52" customFormat="1" ht="27" x14ac:dyDescent="0.3">
      <c r="A292" s="48" t="s">
        <v>94</v>
      </c>
      <c r="B292" s="49">
        <v>29</v>
      </c>
      <c r="C292" s="152" t="str">
        <f xml:space="preserve"> IF(B292="","",setValueToTime(B292))</f>
        <v>2h25min</v>
      </c>
      <c r="D292" s="50" t="s">
        <v>104</v>
      </c>
      <c r="E292" s="239"/>
      <c r="F292" s="240"/>
      <c r="G292" s="51"/>
    </row>
    <row r="293" spans="1:7" s="52" customFormat="1" x14ac:dyDescent="0.3">
      <c r="A293" s="53" t="s">
        <v>13</v>
      </c>
      <c r="B293" s="54">
        <v>6</v>
      </c>
      <c r="C293" s="153" t="str">
        <f t="shared" ref="C293:C299" si="24" xml:space="preserve"> IF(B293="","",setValueToTime(B293))</f>
        <v>0h30min</v>
      </c>
      <c r="D293" s="55" t="s">
        <v>96</v>
      </c>
      <c r="E293" s="231"/>
      <c r="F293" s="232"/>
      <c r="G293" s="51"/>
    </row>
    <row r="294" spans="1:7" s="52" customFormat="1" x14ac:dyDescent="0.3">
      <c r="A294" s="53" t="s">
        <v>14</v>
      </c>
      <c r="B294" s="54">
        <v>3</v>
      </c>
      <c r="C294" s="153" t="str">
        <f t="shared" si="24"/>
        <v>0h15min</v>
      </c>
      <c r="D294" s="55" t="s">
        <v>95</v>
      </c>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26</v>
      </c>
      <c r="B300" s="84">
        <f>SUM(B292:B299)</f>
        <v>38</v>
      </c>
      <c r="C300" s="111" t="str">
        <f xml:space="preserve"> setValueToTime(B300)</f>
        <v>3h10min</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7" t="s">
        <v>11</v>
      </c>
      <c r="F303" s="238"/>
      <c r="G303" s="46"/>
    </row>
    <row r="304" spans="1:7" s="52" customFormat="1" ht="27" x14ac:dyDescent="0.3">
      <c r="A304" s="48" t="s">
        <v>93</v>
      </c>
      <c r="B304" s="49">
        <v>27</v>
      </c>
      <c r="C304" s="152" t="str">
        <f xml:space="preserve"> IF(B304="","",setValueToTime(B304))</f>
        <v>2h15min</v>
      </c>
      <c r="D304" s="50" t="s">
        <v>108</v>
      </c>
      <c r="E304" s="241"/>
      <c r="F304" s="240"/>
      <c r="G304" s="51"/>
    </row>
    <row r="305" spans="1:7" s="52" customFormat="1" x14ac:dyDescent="0.3">
      <c r="A305" s="53" t="s">
        <v>13</v>
      </c>
      <c r="B305" s="54">
        <v>7</v>
      </c>
      <c r="C305" s="153" t="str">
        <f t="shared" ref="C305:C311" si="25" xml:space="preserve"> IF(B305="","",setValueToTime(B305))</f>
        <v>0h35min</v>
      </c>
      <c r="D305" s="55" t="s">
        <v>96</v>
      </c>
      <c r="E305" s="231"/>
      <c r="F305" s="232"/>
      <c r="G305" s="51"/>
    </row>
    <row r="306" spans="1:7" s="52" customFormat="1" x14ac:dyDescent="0.3">
      <c r="A306" s="53" t="s">
        <v>14</v>
      </c>
      <c r="B306" s="54">
        <v>4</v>
      </c>
      <c r="C306" s="153" t="str">
        <f t="shared" si="25"/>
        <v>0h20min</v>
      </c>
      <c r="D306" s="55" t="s">
        <v>95</v>
      </c>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26</v>
      </c>
      <c r="B312" s="84">
        <f>SUM(B304:B311)</f>
        <v>38</v>
      </c>
      <c r="C312" s="111" t="str">
        <f xml:space="preserve"> setValueToTime(B312)</f>
        <v>3h10min</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7" t="s">
        <v>11</v>
      </c>
      <c r="F315" s="238"/>
      <c r="G315" s="46"/>
    </row>
    <row r="316" spans="1:7" s="52" customFormat="1" x14ac:dyDescent="0.3">
      <c r="A316" s="48" t="s">
        <v>29</v>
      </c>
      <c r="B316" s="49">
        <v>40</v>
      </c>
      <c r="C316" s="152" t="str">
        <f xml:space="preserve"> IF(B316="","",setValueToTime(B316))</f>
        <v>3h20min</v>
      </c>
      <c r="D316" s="55" t="s">
        <v>90</v>
      </c>
      <c r="E316" s="242" t="s">
        <v>91</v>
      </c>
      <c r="F316" s="232"/>
      <c r="G316" s="51"/>
    </row>
    <row r="317" spans="1:7" s="52" customFormat="1" x14ac:dyDescent="0.3">
      <c r="A317" s="53" t="s">
        <v>29</v>
      </c>
      <c r="B317" s="54">
        <v>7</v>
      </c>
      <c r="C317" s="153" t="str">
        <f t="shared" ref="C317:C323" si="26" xml:space="preserve"> IF(B317="","",setValueToTime(B317))</f>
        <v>0h35min</v>
      </c>
      <c r="D317" s="55" t="s">
        <v>92</v>
      </c>
      <c r="E317" s="231"/>
      <c r="F317" s="232"/>
      <c r="G317" s="51"/>
    </row>
    <row r="318" spans="1:7" s="52" customFormat="1" x14ac:dyDescent="0.3">
      <c r="A318" s="53" t="s">
        <v>172</v>
      </c>
      <c r="B318" s="54">
        <v>1</v>
      </c>
      <c r="C318" s="153" t="str">
        <f t="shared" si="26"/>
        <v>0h5min</v>
      </c>
      <c r="D318" s="55" t="s">
        <v>173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26</v>
      </c>
      <c r="B324" s="84">
        <f>SUM(B316:B323)</f>
        <v>48</v>
      </c>
      <c r="C324" s="111" t="str">
        <f xml:space="preserve"> setValueToTime(B324)</f>
        <v>4h</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7" t="s">
        <v>11</v>
      </c>
      <c r="F327" s="238"/>
      <c r="G327" s="46"/>
    </row>
    <row r="328" spans="1:7" s="52" customFormat="1" x14ac:dyDescent="0.3">
      <c r="A328" s="48" t="s">
        <v>29</v>
      </c>
      <c r="B328" s="49">
        <v>10</v>
      </c>
      <c r="C328" s="152" t="str">
        <f xml:space="preserve"> IF(B328="","",setValueToTime(B328))</f>
        <v>0h50min</v>
      </c>
      <c r="D328" s="50" t="s">
        <v>106</v>
      </c>
      <c r="E328" s="239"/>
      <c r="F328" s="240"/>
      <c r="G328" s="51"/>
    </row>
    <row r="329" spans="1:7" s="52" customFormat="1" x14ac:dyDescent="0.3">
      <c r="A329" s="53" t="s">
        <v>29</v>
      </c>
      <c r="B329" s="54">
        <v>28</v>
      </c>
      <c r="C329" s="153" t="str">
        <f t="shared" ref="C329:C335" si="27" xml:space="preserve"> IF(B329="","",setValueToTime(B329))</f>
        <v>2h20min</v>
      </c>
      <c r="D329" s="55" t="s">
        <v>90</v>
      </c>
      <c r="E329" s="242" t="s">
        <v>91</v>
      </c>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26</v>
      </c>
      <c r="B336" s="84">
        <f>SUM(B328:B335)</f>
        <v>38</v>
      </c>
      <c r="C336" s="111" t="str">
        <f xml:space="preserve"> setValueToTime(B336)</f>
        <v>3h10min</v>
      </c>
      <c r="D336" s="120"/>
      <c r="E336" s="235"/>
      <c r="F336" s="23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64" fitToHeight="0"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2" activePane="bottomLeft" state="frozen"/>
      <selection pane="bottomLeft" activeCell="E12" sqref="E12:F1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5" t="s">
        <v>11</v>
      </c>
      <c r="F3" s="246"/>
      <c r="G3" s="46"/>
    </row>
    <row r="4" spans="1:7" s="52" customFormat="1" x14ac:dyDescent="0.3">
      <c r="A4" s="48" t="s">
        <v>13</v>
      </c>
      <c r="B4" s="49">
        <v>12</v>
      </c>
      <c r="C4" s="152" t="str">
        <f xml:space="preserve"> IF(B4="","",setValueToTime(B4))</f>
        <v>1h</v>
      </c>
      <c r="D4" s="50" t="s">
        <v>310</v>
      </c>
      <c r="E4" s="239"/>
      <c r="F4" s="240"/>
      <c r="G4" s="51"/>
    </row>
    <row r="5" spans="1:7" s="52" customFormat="1" x14ac:dyDescent="0.3">
      <c r="A5" s="53" t="s">
        <v>152</v>
      </c>
      <c r="B5" s="54">
        <v>6</v>
      </c>
      <c r="C5" s="153" t="str">
        <f t="shared" ref="C5:C11" si="0" xml:space="preserve"> IF(B5="","",setValueToTime(B5))</f>
        <v>0h30min</v>
      </c>
      <c r="D5" s="55" t="s">
        <v>308</v>
      </c>
      <c r="E5" s="231"/>
      <c r="F5" s="232"/>
      <c r="G5" s="51"/>
    </row>
    <row r="6" spans="1:7" s="52" customFormat="1" ht="27" x14ac:dyDescent="0.3">
      <c r="A6" s="53" t="s">
        <v>14</v>
      </c>
      <c r="B6" s="54">
        <v>2</v>
      </c>
      <c r="C6" s="153" t="str">
        <f t="shared" si="0"/>
        <v>0h10min</v>
      </c>
      <c r="D6" s="55"/>
      <c r="E6" s="231"/>
      <c r="F6" s="232"/>
      <c r="G6" s="51"/>
    </row>
    <row r="7" spans="1:7" s="52" customFormat="1" ht="27" x14ac:dyDescent="0.3">
      <c r="A7" s="53" t="s">
        <v>172</v>
      </c>
      <c r="B7" s="54">
        <v>2</v>
      </c>
      <c r="C7" s="153" t="str">
        <f t="shared" si="0"/>
        <v>0h10min</v>
      </c>
      <c r="D7" s="55" t="s">
        <v>309</v>
      </c>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95.25" customHeight="1" thickBot="1" x14ac:dyDescent="0.35">
      <c r="A11" s="56"/>
      <c r="B11" s="56"/>
      <c r="C11" s="155" t="str">
        <f t="shared" si="0"/>
        <v/>
      </c>
      <c r="D11" s="57"/>
      <c r="E11" s="251" t="s">
        <v>314</v>
      </c>
      <c r="F11" s="234"/>
      <c r="G11" s="51"/>
    </row>
    <row r="12" spans="1:7" s="52" customFormat="1" ht="15" thickBot="1" x14ac:dyDescent="0.35">
      <c r="A12" s="162" t="s">
        <v>26</v>
      </c>
      <c r="B12" s="83">
        <f>SUM(B4:B11)</f>
        <v>22</v>
      </c>
      <c r="C12" s="162" t="str">
        <f xml:space="preserve"> setValueToTime(B12)</f>
        <v>1h50min</v>
      </c>
      <c r="D12" s="121"/>
      <c r="E12" s="243"/>
      <c r="F12" s="24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5" t="s">
        <v>11</v>
      </c>
      <c r="F15" s="246"/>
      <c r="G15" s="46"/>
    </row>
    <row r="16" spans="1:7" s="52" customFormat="1" ht="27" x14ac:dyDescent="0.3">
      <c r="A16" s="48" t="s">
        <v>13</v>
      </c>
      <c r="B16" s="49">
        <v>26</v>
      </c>
      <c r="C16" s="152" t="str">
        <f xml:space="preserve"> IF(B16="","",setValueToTime(B16))</f>
        <v>2h10min</v>
      </c>
      <c r="D16" s="50" t="s">
        <v>305</v>
      </c>
      <c r="E16" s="239"/>
      <c r="F16" s="240"/>
      <c r="G16" s="51"/>
    </row>
    <row r="17" spans="1:7" s="52" customFormat="1" x14ac:dyDescent="0.3">
      <c r="A17" s="53" t="s">
        <v>152</v>
      </c>
      <c r="B17" s="54">
        <v>10</v>
      </c>
      <c r="C17" s="153" t="str">
        <f t="shared" ref="C17:C23" si="1" xml:space="preserve"> IF(B17="","",setValueToTime(B17))</f>
        <v>0h50min</v>
      </c>
      <c r="D17" s="55" t="s">
        <v>306</v>
      </c>
      <c r="E17" s="231"/>
      <c r="F17" s="232"/>
      <c r="G17" s="51"/>
    </row>
    <row r="18" spans="1:7" s="52" customFormat="1" ht="27" x14ac:dyDescent="0.3">
      <c r="A18" s="53" t="s">
        <v>14</v>
      </c>
      <c r="B18" s="54">
        <v>2</v>
      </c>
      <c r="C18" s="153" t="str">
        <f t="shared" si="1"/>
        <v>0h10min</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57.75" customHeight="1" thickBot="1" x14ac:dyDescent="0.35">
      <c r="A23" s="56"/>
      <c r="B23" s="56"/>
      <c r="C23" s="155" t="str">
        <f t="shared" si="1"/>
        <v/>
      </c>
      <c r="D23" s="57"/>
      <c r="E23" s="233" t="s">
        <v>307</v>
      </c>
      <c r="F23" s="234"/>
      <c r="G23" s="51"/>
    </row>
    <row r="24" spans="1:7" s="52" customFormat="1" ht="15" thickBot="1" x14ac:dyDescent="0.35">
      <c r="A24" s="162" t="s">
        <v>26</v>
      </c>
      <c r="B24" s="83">
        <f>SUM(B16:B23)</f>
        <v>38</v>
      </c>
      <c r="C24" s="162" t="str">
        <f xml:space="preserve"> setValueToTime(B24)</f>
        <v>3h10min</v>
      </c>
      <c r="D24" s="121"/>
      <c r="E24" s="243"/>
      <c r="F24" s="24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5" t="s">
        <v>11</v>
      </c>
      <c r="F27" s="246"/>
      <c r="G27" s="46"/>
    </row>
    <row r="28" spans="1:7" s="52" customFormat="1" ht="27" x14ac:dyDescent="0.3">
      <c r="A28" s="48" t="s">
        <v>152</v>
      </c>
      <c r="B28" s="49">
        <v>6</v>
      </c>
      <c r="C28" s="152" t="str">
        <f xml:space="preserve"> IF(B28="","",setValueToTime(B28))</f>
        <v>0h30min</v>
      </c>
      <c r="D28" s="50" t="s">
        <v>301</v>
      </c>
      <c r="E28" s="239"/>
      <c r="F28" s="240"/>
      <c r="G28" s="51"/>
    </row>
    <row r="29" spans="1:7" s="52" customFormat="1" ht="27" x14ac:dyDescent="0.3">
      <c r="A29" s="53" t="s">
        <v>13</v>
      </c>
      <c r="B29" s="54">
        <v>24</v>
      </c>
      <c r="C29" s="153" t="str">
        <f t="shared" ref="C29:C35" si="2" xml:space="preserve"> IF(B29="","",setValueToTime(B29))</f>
        <v>2h</v>
      </c>
      <c r="D29" s="55" t="s">
        <v>302</v>
      </c>
      <c r="E29" s="231"/>
      <c r="F29" s="232"/>
      <c r="G29" s="51"/>
    </row>
    <row r="30" spans="1:7" s="52" customFormat="1" ht="27" x14ac:dyDescent="0.3">
      <c r="A30" s="53" t="s">
        <v>14</v>
      </c>
      <c r="B30" s="54">
        <v>2</v>
      </c>
      <c r="C30" s="153" t="str">
        <f t="shared" si="2"/>
        <v>0h10min</v>
      </c>
      <c r="D30" s="55"/>
      <c r="E30" s="231"/>
      <c r="F30" s="232"/>
      <c r="G30" s="51"/>
    </row>
    <row r="31" spans="1:7" s="52" customFormat="1" x14ac:dyDescent="0.3">
      <c r="A31" s="53" t="s">
        <v>129</v>
      </c>
      <c r="B31" s="54">
        <v>6</v>
      </c>
      <c r="C31" s="153" t="str">
        <f t="shared" si="2"/>
        <v>0h30min</v>
      </c>
      <c r="D31" s="55" t="s">
        <v>303</v>
      </c>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66" customHeight="1" thickBot="1" x14ac:dyDescent="0.35">
      <c r="A35" s="56"/>
      <c r="B35" s="56"/>
      <c r="C35" s="155" t="str">
        <f t="shared" si="2"/>
        <v/>
      </c>
      <c r="D35" s="57"/>
      <c r="E35" s="233" t="s">
        <v>304</v>
      </c>
      <c r="F35" s="234"/>
      <c r="G35" s="51"/>
    </row>
    <row r="36" spans="1:7" s="52" customFormat="1" ht="15" thickBot="1" x14ac:dyDescent="0.35">
      <c r="A36" s="162" t="s">
        <v>26</v>
      </c>
      <c r="B36" s="83">
        <f>SUM(B28:B35)</f>
        <v>38</v>
      </c>
      <c r="C36" s="162" t="str">
        <f xml:space="preserve"> setValueToTime(B36)</f>
        <v>3h10min</v>
      </c>
      <c r="D36" s="121"/>
      <c r="E36" s="243"/>
      <c r="F36" s="24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5" t="s">
        <v>11</v>
      </c>
      <c r="F39" s="246"/>
      <c r="G39" s="46"/>
    </row>
    <row r="40" spans="1:7" s="52" customFormat="1" ht="27" x14ac:dyDescent="0.3">
      <c r="A40" s="48" t="s">
        <v>13</v>
      </c>
      <c r="B40" s="49">
        <v>24</v>
      </c>
      <c r="C40" s="152" t="str">
        <f xml:space="preserve"> IF(B40="","",setValueToTime(B40))</f>
        <v>2h</v>
      </c>
      <c r="D40" s="50" t="s">
        <v>299</v>
      </c>
      <c r="E40" s="239"/>
      <c r="F40" s="240"/>
      <c r="G40" s="51"/>
    </row>
    <row r="41" spans="1:7" s="52" customFormat="1" ht="27" x14ac:dyDescent="0.3">
      <c r="A41" s="53" t="s">
        <v>149</v>
      </c>
      <c r="B41" s="54">
        <v>12</v>
      </c>
      <c r="C41" s="153" t="str">
        <f t="shared" ref="C41:C47" si="3" xml:space="preserve"> IF(B41="","",setValueToTime(B41))</f>
        <v>1h</v>
      </c>
      <c r="D41" s="55" t="s">
        <v>298</v>
      </c>
      <c r="E41" s="231"/>
      <c r="F41" s="232"/>
      <c r="G41" s="51"/>
    </row>
    <row r="42" spans="1:7" s="52" customFormat="1" ht="27" x14ac:dyDescent="0.3">
      <c r="A42" s="53" t="s">
        <v>14</v>
      </c>
      <c r="B42" s="54">
        <v>2</v>
      </c>
      <c r="C42" s="153" t="str">
        <f t="shared" si="3"/>
        <v>0h10min</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42.75" customHeight="1" thickBot="1" x14ac:dyDescent="0.35">
      <c r="A47" s="56"/>
      <c r="B47" s="56"/>
      <c r="C47" s="155" t="str">
        <f t="shared" si="3"/>
        <v/>
      </c>
      <c r="D47" s="57"/>
      <c r="E47" s="233" t="s">
        <v>300</v>
      </c>
      <c r="F47" s="234"/>
      <c r="G47" s="51"/>
    </row>
    <row r="48" spans="1:7" s="52" customFormat="1" ht="15" thickBot="1" x14ac:dyDescent="0.35">
      <c r="A48" s="162" t="s">
        <v>26</v>
      </c>
      <c r="B48" s="83">
        <f>SUM(B40:B47)</f>
        <v>38</v>
      </c>
      <c r="C48" s="162" t="str">
        <f xml:space="preserve"> setValueToTime(B48)</f>
        <v>3h10min</v>
      </c>
      <c r="D48" s="121"/>
      <c r="E48" s="243"/>
      <c r="F48" s="24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5" t="s">
        <v>11</v>
      </c>
      <c r="F51" s="246"/>
      <c r="G51" s="46"/>
    </row>
    <row r="52" spans="1:7" s="52" customFormat="1" ht="27" x14ac:dyDescent="0.3">
      <c r="A52" s="48" t="s">
        <v>13</v>
      </c>
      <c r="B52" s="49">
        <v>36</v>
      </c>
      <c r="C52" s="152" t="str">
        <f xml:space="preserve"> IF(B52="","",setValueToTime(B52))</f>
        <v>3h</v>
      </c>
      <c r="D52" s="50" t="s">
        <v>296</v>
      </c>
      <c r="E52" s="239"/>
      <c r="F52" s="240"/>
      <c r="G52" s="51"/>
    </row>
    <row r="53" spans="1:7" s="52" customFormat="1" ht="27" x14ac:dyDescent="0.3">
      <c r="A53" s="53" t="s">
        <v>14</v>
      </c>
      <c r="B53" s="54">
        <v>2</v>
      </c>
      <c r="C53" s="153" t="str">
        <f t="shared" ref="C53:C59" si="4" xml:space="preserve"> IF(B53="","",setValueToTime(B53))</f>
        <v>0h10min</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81" customHeight="1" thickBot="1" x14ac:dyDescent="0.35">
      <c r="A59" s="56"/>
      <c r="B59" s="56"/>
      <c r="C59" s="155" t="str">
        <f t="shared" si="4"/>
        <v/>
      </c>
      <c r="D59" s="57"/>
      <c r="E59" s="233" t="s">
        <v>297</v>
      </c>
      <c r="F59" s="234"/>
      <c r="G59" s="51"/>
    </row>
    <row r="60" spans="1:7" s="52" customFormat="1" ht="15" thickBot="1" x14ac:dyDescent="0.35">
      <c r="A60" s="162" t="s">
        <v>26</v>
      </c>
      <c r="B60" s="83">
        <f>SUM(B52:B59)</f>
        <v>38</v>
      </c>
      <c r="C60" s="162" t="str">
        <f xml:space="preserve"> setValueToTime(B60)</f>
        <v>3h10min</v>
      </c>
      <c r="D60" s="121"/>
      <c r="E60" s="243"/>
      <c r="F60" s="24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5" t="s">
        <v>11</v>
      </c>
      <c r="F63" s="246"/>
      <c r="G63" s="46"/>
    </row>
    <row r="64" spans="1:7" s="52" customFormat="1" ht="27" x14ac:dyDescent="0.3">
      <c r="A64" s="48" t="s">
        <v>13</v>
      </c>
      <c r="B64" s="49">
        <v>46</v>
      </c>
      <c r="C64" s="152" t="str">
        <f xml:space="preserve"> IF(B64="","",setValueToTime(B64))</f>
        <v>3h50min</v>
      </c>
      <c r="D64" s="50" t="s">
        <v>295</v>
      </c>
      <c r="E64" s="239"/>
      <c r="F64" s="240"/>
      <c r="G64" s="51"/>
    </row>
    <row r="65" spans="1:7" s="52" customFormat="1" ht="27" x14ac:dyDescent="0.3">
      <c r="A65" s="53" t="s">
        <v>14</v>
      </c>
      <c r="B65" s="54">
        <v>2</v>
      </c>
      <c r="C65" s="153" t="str">
        <f t="shared" ref="C65:C71" si="5" xml:space="preserve"> IF(B65="","",setValueToTime(B65))</f>
        <v>0h10min</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45" customHeight="1" thickBot="1" x14ac:dyDescent="0.35">
      <c r="A71" s="56"/>
      <c r="B71" s="56"/>
      <c r="C71" s="155" t="str">
        <f t="shared" si="5"/>
        <v/>
      </c>
      <c r="D71" s="57"/>
      <c r="E71" s="233" t="s">
        <v>294</v>
      </c>
      <c r="F71" s="234"/>
      <c r="G71" s="51"/>
    </row>
    <row r="72" spans="1:7" s="52" customFormat="1" ht="15" thickBot="1" x14ac:dyDescent="0.35">
      <c r="A72" s="162" t="s">
        <v>26</v>
      </c>
      <c r="B72" s="83">
        <f>SUM(B64:B71)</f>
        <v>48</v>
      </c>
      <c r="C72" s="162" t="str">
        <f xml:space="preserve"> setValueToTime(B72)</f>
        <v>4h</v>
      </c>
      <c r="D72" s="121"/>
      <c r="E72" s="243"/>
      <c r="F72" s="24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5" t="s">
        <v>11</v>
      </c>
      <c r="F75" s="246"/>
      <c r="G75" s="46"/>
    </row>
    <row r="76" spans="1:7" s="52" customFormat="1" ht="27" x14ac:dyDescent="0.3">
      <c r="A76" s="48" t="s">
        <v>152</v>
      </c>
      <c r="B76" s="49">
        <v>2</v>
      </c>
      <c r="C76" s="152" t="str">
        <f xml:space="preserve"> IF(B76="","",setValueToTime(B76))</f>
        <v>0h10min</v>
      </c>
      <c r="D76" s="50" t="s">
        <v>289</v>
      </c>
      <c r="E76" s="239"/>
      <c r="F76" s="240"/>
      <c r="G76" s="51"/>
    </row>
    <row r="77" spans="1:7" s="52" customFormat="1" x14ac:dyDescent="0.3">
      <c r="A77" s="53" t="s">
        <v>129</v>
      </c>
      <c r="B77" s="54">
        <v>2</v>
      </c>
      <c r="C77" s="153" t="str">
        <f t="shared" ref="C77:C83" si="6" xml:space="preserve"> IF(B77="","",setValueToTime(B77))</f>
        <v>0h10min</v>
      </c>
      <c r="D77" s="55" t="s">
        <v>290</v>
      </c>
      <c r="E77" s="231"/>
      <c r="F77" s="232"/>
      <c r="G77" s="51"/>
    </row>
    <row r="78" spans="1:7" s="52" customFormat="1" ht="27" x14ac:dyDescent="0.3">
      <c r="A78" s="53" t="s">
        <v>13</v>
      </c>
      <c r="B78" s="54">
        <v>32</v>
      </c>
      <c r="C78" s="153" t="str">
        <f t="shared" si="6"/>
        <v>2h40min</v>
      </c>
      <c r="D78" s="55" t="s">
        <v>291</v>
      </c>
      <c r="E78" s="231"/>
      <c r="F78" s="232"/>
      <c r="G78" s="51"/>
    </row>
    <row r="79" spans="1:7" s="52" customFormat="1" ht="27" x14ac:dyDescent="0.3">
      <c r="A79" s="53" t="s">
        <v>14</v>
      </c>
      <c r="B79" s="54">
        <v>2</v>
      </c>
      <c r="C79" s="153" t="str">
        <f t="shared" si="6"/>
        <v>0h10min</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68.25" customHeight="1" thickBot="1" x14ac:dyDescent="0.35">
      <c r="A83" s="56"/>
      <c r="B83" s="56"/>
      <c r="C83" s="155" t="str">
        <f t="shared" si="6"/>
        <v/>
      </c>
      <c r="D83" s="57"/>
      <c r="E83" s="233" t="s">
        <v>293</v>
      </c>
      <c r="F83" s="234"/>
      <c r="G83" s="51"/>
    </row>
    <row r="84" spans="1:7" s="52" customFormat="1" ht="15" thickBot="1" x14ac:dyDescent="0.35">
      <c r="A84" s="162" t="s">
        <v>26</v>
      </c>
      <c r="B84" s="83">
        <f>SUM(B76:B83)</f>
        <v>38</v>
      </c>
      <c r="C84" s="162" t="str">
        <f xml:space="preserve"> setValueToTime(B84)</f>
        <v>3h10min</v>
      </c>
      <c r="D84" s="121"/>
      <c r="E84" s="243"/>
      <c r="F84" s="24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5" t="s">
        <v>11</v>
      </c>
      <c r="F87" s="246"/>
      <c r="G87" s="46"/>
    </row>
    <row r="88" spans="1:7" s="52" customFormat="1" ht="27" x14ac:dyDescent="0.3">
      <c r="A88" s="48" t="s">
        <v>117</v>
      </c>
      <c r="B88" s="49">
        <v>4</v>
      </c>
      <c r="C88" s="152" t="str">
        <f xml:space="preserve"> IF(B88="","",setValueToTime(B88))</f>
        <v>0h20min</v>
      </c>
      <c r="D88" s="50" t="s">
        <v>284</v>
      </c>
      <c r="E88" s="239"/>
      <c r="F88" s="240"/>
      <c r="G88" s="51"/>
    </row>
    <row r="89" spans="1:7" s="52" customFormat="1" ht="27" x14ac:dyDescent="0.3">
      <c r="A89" s="53" t="s">
        <v>117</v>
      </c>
      <c r="B89" s="54">
        <v>4</v>
      </c>
      <c r="C89" s="153" t="str">
        <f t="shared" ref="C89:C95" si="7" xml:space="preserve"> IF(B89="","",setValueToTime(B89))</f>
        <v>0h20min</v>
      </c>
      <c r="D89" s="55" t="s">
        <v>285</v>
      </c>
      <c r="E89" s="231"/>
      <c r="F89" s="232"/>
      <c r="G89" s="51"/>
    </row>
    <row r="90" spans="1:7" s="52" customFormat="1" x14ac:dyDescent="0.3">
      <c r="A90" s="53" t="s">
        <v>13</v>
      </c>
      <c r="B90" s="54">
        <v>28</v>
      </c>
      <c r="C90" s="153" t="str">
        <f t="shared" si="7"/>
        <v>2h20min</v>
      </c>
      <c r="D90" s="55" t="s">
        <v>288</v>
      </c>
      <c r="E90" s="231"/>
      <c r="F90" s="232"/>
      <c r="G90" s="51"/>
    </row>
    <row r="91" spans="1:7" s="52" customFormat="1" ht="27" x14ac:dyDescent="0.3">
      <c r="A91" s="53" t="s">
        <v>156</v>
      </c>
      <c r="B91" s="54">
        <v>5</v>
      </c>
      <c r="C91" s="153" t="str">
        <f t="shared" si="7"/>
        <v>0h25min</v>
      </c>
      <c r="D91" s="55" t="s">
        <v>286</v>
      </c>
      <c r="E91" s="231"/>
      <c r="F91" s="232"/>
      <c r="G91" s="51"/>
    </row>
    <row r="92" spans="1:7" s="52" customFormat="1" ht="27" x14ac:dyDescent="0.3">
      <c r="A92" s="54" t="s">
        <v>156</v>
      </c>
      <c r="B92" s="54">
        <v>5</v>
      </c>
      <c r="C92" s="154" t="str">
        <f t="shared" si="7"/>
        <v>0h25min</v>
      </c>
      <c r="D92" s="55" t="s">
        <v>287</v>
      </c>
      <c r="E92" s="231"/>
      <c r="F92" s="232"/>
      <c r="G92" s="51"/>
    </row>
    <row r="93" spans="1:7" s="52" customFormat="1" ht="27" x14ac:dyDescent="0.3">
      <c r="A93" s="54" t="s">
        <v>14</v>
      </c>
      <c r="B93" s="54">
        <v>2</v>
      </c>
      <c r="C93" s="154" t="str">
        <f t="shared" si="7"/>
        <v>0h10min</v>
      </c>
      <c r="D93" s="55"/>
      <c r="E93" s="231"/>
      <c r="F93" s="232"/>
      <c r="G93" s="51"/>
    </row>
    <row r="94" spans="1:7" s="52" customFormat="1" x14ac:dyDescent="0.3">
      <c r="A94" s="54"/>
      <c r="B94" s="54"/>
      <c r="C94" s="154" t="str">
        <f t="shared" si="7"/>
        <v/>
      </c>
      <c r="D94" s="55"/>
      <c r="E94" s="231"/>
      <c r="F94" s="232"/>
      <c r="G94" s="51"/>
    </row>
    <row r="95" spans="1:7" s="52" customFormat="1" ht="68.25" customHeight="1" thickBot="1" x14ac:dyDescent="0.35">
      <c r="A95" s="56"/>
      <c r="B95" s="56"/>
      <c r="C95" s="155" t="str">
        <f t="shared" si="7"/>
        <v/>
      </c>
      <c r="D95" s="57"/>
      <c r="E95" s="233" t="s">
        <v>292</v>
      </c>
      <c r="F95" s="234"/>
      <c r="G95" s="51"/>
    </row>
    <row r="96" spans="1:7" s="52" customFormat="1" ht="15" thickBot="1" x14ac:dyDescent="0.35">
      <c r="A96" s="162" t="s">
        <v>26</v>
      </c>
      <c r="B96" s="83">
        <f>SUM(B88:B95)</f>
        <v>48</v>
      </c>
      <c r="C96" s="162" t="str">
        <f xml:space="preserve"> setValueToTime(B96)</f>
        <v>4h</v>
      </c>
      <c r="D96" s="121"/>
      <c r="E96" s="243"/>
      <c r="F96" s="24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5" t="s">
        <v>11</v>
      </c>
      <c r="F99" s="246"/>
      <c r="G99" s="46"/>
    </row>
    <row r="100" spans="1:7" s="52" customFormat="1" x14ac:dyDescent="0.3">
      <c r="A100" s="48" t="s">
        <v>152</v>
      </c>
      <c r="B100" s="49">
        <v>6</v>
      </c>
      <c r="C100" s="152" t="str">
        <f xml:space="preserve"> IF(B100="","",setValueToTime(B100))</f>
        <v>0h30min</v>
      </c>
      <c r="D100" s="50" t="s">
        <v>281</v>
      </c>
      <c r="E100" s="239"/>
      <c r="F100" s="240"/>
      <c r="G100" s="51"/>
    </row>
    <row r="101" spans="1:7" s="52" customFormat="1" ht="27" x14ac:dyDescent="0.3">
      <c r="A101" s="53" t="s">
        <v>13</v>
      </c>
      <c r="B101" s="54">
        <v>20</v>
      </c>
      <c r="C101" s="153" t="str">
        <f t="shared" ref="C101:C107" si="8" xml:space="preserve"> IF(B101="","",setValueToTime(B101))</f>
        <v>1h40min</v>
      </c>
      <c r="D101" s="55" t="s">
        <v>282</v>
      </c>
      <c r="E101" s="231"/>
      <c r="F101" s="232"/>
      <c r="G101" s="51"/>
    </row>
    <row r="102" spans="1:7" s="52" customFormat="1" ht="27" x14ac:dyDescent="0.3">
      <c r="A102" s="53" t="s">
        <v>14</v>
      </c>
      <c r="B102" s="54">
        <v>2</v>
      </c>
      <c r="C102" s="153" t="str">
        <f t="shared" si="8"/>
        <v>0h10min</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58.5" customHeight="1" thickBot="1" x14ac:dyDescent="0.35">
      <c r="A107" s="56"/>
      <c r="B107" s="56"/>
      <c r="C107" s="155" t="str">
        <f t="shared" si="8"/>
        <v/>
      </c>
      <c r="D107" s="57"/>
      <c r="E107" s="233" t="s">
        <v>283</v>
      </c>
      <c r="F107" s="234"/>
      <c r="G107" s="51"/>
    </row>
    <row r="108" spans="1:7" s="52" customFormat="1" ht="15" thickBot="1" x14ac:dyDescent="0.35">
      <c r="A108" s="162" t="s">
        <v>26</v>
      </c>
      <c r="B108" s="83">
        <f>SUM(B100:B107)</f>
        <v>28</v>
      </c>
      <c r="C108" s="162" t="str">
        <f xml:space="preserve"> setValueToTime(B108)</f>
        <v>2h20min</v>
      </c>
      <c r="D108" s="121"/>
      <c r="E108" s="243"/>
      <c r="F108" s="24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5" t="s">
        <v>11</v>
      </c>
      <c r="F111" s="246"/>
      <c r="G111" s="46"/>
    </row>
    <row r="112" spans="1:7" s="52" customFormat="1" ht="40.5" x14ac:dyDescent="0.3">
      <c r="A112" s="48" t="s">
        <v>116</v>
      </c>
      <c r="B112" s="49">
        <v>34</v>
      </c>
      <c r="C112" s="152" t="str">
        <f xml:space="preserve"> IF(B112="","",setValueToTime(B112))</f>
        <v>2h50min</v>
      </c>
      <c r="D112" s="50" t="s">
        <v>280</v>
      </c>
      <c r="E112" s="241" t="s">
        <v>313</v>
      </c>
      <c r="F112" s="240"/>
      <c r="G112" s="51"/>
    </row>
    <row r="113" spans="1:7" s="52" customFormat="1" ht="27" x14ac:dyDescent="0.3">
      <c r="A113" s="53" t="s">
        <v>14</v>
      </c>
      <c r="B113" s="54">
        <v>2</v>
      </c>
      <c r="C113" s="153" t="str">
        <f t="shared" ref="C113:C119" si="9" xml:space="preserve"> IF(B113="","",setValueToTime(B113))</f>
        <v>0h10min</v>
      </c>
      <c r="D113" s="55"/>
      <c r="E113" s="231"/>
      <c r="F113" s="232"/>
      <c r="G113" s="51"/>
    </row>
    <row r="114" spans="1:7" s="52" customFormat="1" ht="27" x14ac:dyDescent="0.3">
      <c r="A114" s="53" t="s">
        <v>172</v>
      </c>
      <c r="B114" s="54">
        <v>2</v>
      </c>
      <c r="C114" s="153" t="str">
        <f t="shared" si="9"/>
        <v>0h10min</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87.75" customHeight="1" thickBot="1" x14ac:dyDescent="0.35">
      <c r="A119" s="56"/>
      <c r="B119" s="56"/>
      <c r="C119" s="155" t="str">
        <f t="shared" si="9"/>
        <v/>
      </c>
      <c r="D119" s="57"/>
      <c r="E119" s="233" t="s">
        <v>279</v>
      </c>
      <c r="F119" s="234"/>
      <c r="G119" s="51"/>
    </row>
    <row r="120" spans="1:7" s="52" customFormat="1" ht="15" thickBot="1" x14ac:dyDescent="0.35">
      <c r="A120" s="162" t="s">
        <v>26</v>
      </c>
      <c r="B120" s="83">
        <f>SUM(B112:B119)</f>
        <v>38</v>
      </c>
      <c r="C120" s="162" t="str">
        <f xml:space="preserve"> setValueToTime(B120)</f>
        <v>3h10min</v>
      </c>
      <c r="D120" s="121"/>
      <c r="E120" s="243"/>
      <c r="F120" s="24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5" t="s">
        <v>11</v>
      </c>
      <c r="F123" s="246"/>
      <c r="G123" s="46"/>
    </row>
    <row r="124" spans="1:7" s="52" customFormat="1" ht="40.5" x14ac:dyDescent="0.3">
      <c r="A124" s="48" t="s">
        <v>143</v>
      </c>
      <c r="B124" s="49">
        <v>6</v>
      </c>
      <c r="C124" s="152" t="str">
        <f xml:space="preserve"> IF(B124="","",setValueToTime(B124))</f>
        <v>0h30min</v>
      </c>
      <c r="D124" s="50" t="s">
        <v>271</v>
      </c>
      <c r="E124" s="239"/>
      <c r="F124" s="240"/>
      <c r="G124" s="51"/>
    </row>
    <row r="125" spans="1:7" s="52" customFormat="1" ht="54" x14ac:dyDescent="0.3">
      <c r="A125" s="53" t="s">
        <v>143</v>
      </c>
      <c r="B125" s="54">
        <v>9</v>
      </c>
      <c r="C125" s="153" t="str">
        <f t="shared" ref="C125:C131" si="10" xml:space="preserve"> IF(B125="","",setValueToTime(B125))</f>
        <v>0h45min</v>
      </c>
      <c r="D125" s="55" t="s">
        <v>272</v>
      </c>
      <c r="E125" s="231"/>
      <c r="F125" s="232"/>
      <c r="G125" s="51"/>
    </row>
    <row r="126" spans="1:7" s="52" customFormat="1" x14ac:dyDescent="0.3">
      <c r="A126" s="53" t="s">
        <v>112</v>
      </c>
      <c r="B126" s="54">
        <v>3</v>
      </c>
      <c r="C126" s="153" t="str">
        <f t="shared" si="10"/>
        <v>0h15min</v>
      </c>
      <c r="D126" s="55" t="s">
        <v>273</v>
      </c>
      <c r="E126" s="231"/>
      <c r="F126" s="232"/>
      <c r="G126" s="51"/>
    </row>
    <row r="127" spans="1:7" s="52" customFormat="1" ht="54" x14ac:dyDescent="0.3">
      <c r="A127" s="53" t="s">
        <v>143</v>
      </c>
      <c r="B127" s="54">
        <v>6</v>
      </c>
      <c r="C127" s="153" t="str">
        <f t="shared" si="10"/>
        <v>0h30min</v>
      </c>
      <c r="D127" s="55" t="s">
        <v>274</v>
      </c>
      <c r="E127" s="231"/>
      <c r="F127" s="232"/>
      <c r="G127" s="51"/>
    </row>
    <row r="128" spans="1:7" s="52" customFormat="1" ht="40.5" x14ac:dyDescent="0.3">
      <c r="A128" s="54" t="s">
        <v>143</v>
      </c>
      <c r="B128" s="54">
        <v>4</v>
      </c>
      <c r="C128" s="154" t="str">
        <f t="shared" si="10"/>
        <v>0h20min</v>
      </c>
      <c r="D128" s="55" t="s">
        <v>275</v>
      </c>
      <c r="E128" s="231"/>
      <c r="F128" s="232"/>
      <c r="G128" s="51"/>
    </row>
    <row r="129" spans="1:7" s="52" customFormat="1" x14ac:dyDescent="0.3">
      <c r="A129" s="54" t="s">
        <v>152</v>
      </c>
      <c r="B129" s="54">
        <v>8</v>
      </c>
      <c r="C129" s="154" t="str">
        <f t="shared" si="10"/>
        <v>0h40min</v>
      </c>
      <c r="D129" s="55" t="s">
        <v>278</v>
      </c>
      <c r="E129" s="231"/>
      <c r="F129" s="232"/>
      <c r="G129" s="51"/>
    </row>
    <row r="130" spans="1:7" s="52" customFormat="1" ht="27" x14ac:dyDescent="0.3">
      <c r="A130" s="54" t="s">
        <v>14</v>
      </c>
      <c r="B130" s="54">
        <v>2</v>
      </c>
      <c r="C130" s="154" t="str">
        <f t="shared" si="10"/>
        <v>0h10min</v>
      </c>
      <c r="D130" s="55" t="s">
        <v>95</v>
      </c>
      <c r="E130" s="231"/>
      <c r="F130" s="232"/>
      <c r="G130" s="51"/>
    </row>
    <row r="131" spans="1:7" s="52" customFormat="1" ht="111" customHeight="1" thickBot="1" x14ac:dyDescent="0.35">
      <c r="A131" s="56"/>
      <c r="B131" s="56"/>
      <c r="C131" s="155" t="str">
        <f t="shared" si="10"/>
        <v/>
      </c>
      <c r="D131" s="57"/>
      <c r="E131" s="233" t="s">
        <v>277</v>
      </c>
      <c r="F131" s="234"/>
      <c r="G131" s="51"/>
    </row>
    <row r="132" spans="1:7" s="52" customFormat="1" ht="15" thickBot="1" x14ac:dyDescent="0.35">
      <c r="A132" s="162" t="s">
        <v>26</v>
      </c>
      <c r="B132" s="83">
        <f>SUM(B124:B131)</f>
        <v>38</v>
      </c>
      <c r="C132" s="162" t="str">
        <f xml:space="preserve"> setValueToTime(B132)</f>
        <v>3h10min</v>
      </c>
      <c r="D132" s="121"/>
      <c r="E132" s="243"/>
      <c r="F132" s="24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5" t="s">
        <v>11</v>
      </c>
      <c r="F135" s="246"/>
      <c r="G135" s="46"/>
    </row>
    <row r="136" spans="1:7" s="52" customFormat="1" ht="40.5" x14ac:dyDescent="0.3">
      <c r="A136" s="48" t="s">
        <v>179</v>
      </c>
      <c r="B136" s="49">
        <v>8</v>
      </c>
      <c r="C136" s="152" t="str">
        <f xml:space="preserve"> IF(B136="","",setValueToTime(B136))</f>
        <v>0h40min</v>
      </c>
      <c r="D136" s="50" t="s">
        <v>265</v>
      </c>
      <c r="E136" s="239"/>
      <c r="F136" s="240"/>
      <c r="G136" s="51"/>
    </row>
    <row r="137" spans="1:7" s="52" customFormat="1" ht="40.5" x14ac:dyDescent="0.3">
      <c r="A137" s="53" t="s">
        <v>143</v>
      </c>
      <c r="B137" s="54">
        <v>6</v>
      </c>
      <c r="C137" s="153" t="str">
        <f t="shared" ref="C137:C143" si="11" xml:space="preserve"> IF(B137="","",setValueToTime(B137))</f>
        <v>0h30min</v>
      </c>
      <c r="D137" s="55" t="s">
        <v>266</v>
      </c>
      <c r="E137" s="231"/>
      <c r="F137" s="232"/>
      <c r="G137" s="51"/>
    </row>
    <row r="138" spans="1:7" s="52" customFormat="1" ht="40.5" x14ac:dyDescent="0.3">
      <c r="A138" s="53" t="s">
        <v>143</v>
      </c>
      <c r="B138" s="54">
        <v>8</v>
      </c>
      <c r="C138" s="153" t="str">
        <f t="shared" si="11"/>
        <v>0h40min</v>
      </c>
      <c r="D138" s="55" t="s">
        <v>268</v>
      </c>
      <c r="E138" s="242" t="s">
        <v>267</v>
      </c>
      <c r="F138" s="232"/>
      <c r="G138" s="51"/>
    </row>
    <row r="139" spans="1:7" s="52" customFormat="1" ht="67.5" x14ac:dyDescent="0.3">
      <c r="A139" s="53" t="s">
        <v>143</v>
      </c>
      <c r="B139" s="54">
        <v>10</v>
      </c>
      <c r="C139" s="153" t="str">
        <f t="shared" si="11"/>
        <v>0h50min</v>
      </c>
      <c r="D139" s="55" t="s">
        <v>261</v>
      </c>
      <c r="E139" s="231"/>
      <c r="F139" s="232"/>
      <c r="G139" s="51"/>
    </row>
    <row r="140" spans="1:7" s="52" customFormat="1" x14ac:dyDescent="0.3">
      <c r="A140" s="54" t="s">
        <v>13</v>
      </c>
      <c r="B140" s="54">
        <v>4</v>
      </c>
      <c r="C140" s="154" t="str">
        <f t="shared" si="11"/>
        <v>0h20min</v>
      </c>
      <c r="D140" s="55" t="s">
        <v>96</v>
      </c>
      <c r="E140" s="231"/>
      <c r="F140" s="232"/>
      <c r="G140" s="51"/>
    </row>
    <row r="141" spans="1:7" s="52" customFormat="1" ht="27" x14ac:dyDescent="0.3">
      <c r="A141" s="54" t="s">
        <v>14</v>
      </c>
      <c r="B141" s="54">
        <v>2</v>
      </c>
      <c r="C141" s="154" t="str">
        <f t="shared" si="11"/>
        <v>0h10min</v>
      </c>
      <c r="D141" s="55" t="s">
        <v>95</v>
      </c>
      <c r="E141" s="231"/>
      <c r="F141" s="232"/>
      <c r="G141" s="51"/>
    </row>
    <row r="142" spans="1:7" s="52" customFormat="1" x14ac:dyDescent="0.3">
      <c r="A142" s="54"/>
      <c r="B142" s="54"/>
      <c r="C142" s="154" t="str">
        <f t="shared" si="11"/>
        <v/>
      </c>
      <c r="D142" s="55"/>
      <c r="E142" s="231"/>
      <c r="F142" s="232"/>
      <c r="G142" s="51"/>
    </row>
    <row r="143" spans="1:7" s="52" customFormat="1" ht="70.5" customHeight="1" thickBot="1" x14ac:dyDescent="0.35">
      <c r="A143" s="56"/>
      <c r="B143" s="56"/>
      <c r="C143" s="155" t="str">
        <f t="shared" si="11"/>
        <v/>
      </c>
      <c r="D143" s="57"/>
      <c r="E143" s="233" t="s">
        <v>270</v>
      </c>
      <c r="F143" s="234"/>
      <c r="G143" s="51"/>
    </row>
    <row r="144" spans="1:7" s="52" customFormat="1" ht="15" thickBot="1" x14ac:dyDescent="0.35">
      <c r="A144" s="162" t="s">
        <v>26</v>
      </c>
      <c r="B144" s="83">
        <f>SUM(B136:B143)</f>
        <v>38</v>
      </c>
      <c r="C144" s="162" t="str">
        <f xml:space="preserve"> setValueToTime(B144)</f>
        <v>3h10min</v>
      </c>
      <c r="D144" s="121"/>
      <c r="E144" s="243"/>
      <c r="F144" s="24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5" t="s">
        <v>11</v>
      </c>
      <c r="F147" s="246"/>
      <c r="G147" s="46"/>
    </row>
    <row r="148" spans="1:7" s="52" customFormat="1" ht="27" x14ac:dyDescent="0.3">
      <c r="A148" s="48" t="s">
        <v>172</v>
      </c>
      <c r="B148" s="49">
        <v>1</v>
      </c>
      <c r="C148" s="152" t="str">
        <f xml:space="preserve"> IF(B148="","",setValueToTime(B148))</f>
        <v>0h5min</v>
      </c>
      <c r="D148" s="174" t="s">
        <v>258</v>
      </c>
      <c r="E148" s="239"/>
      <c r="F148" s="240"/>
      <c r="G148" s="51"/>
    </row>
    <row r="149" spans="1:7" s="52" customFormat="1" ht="27" x14ac:dyDescent="0.3">
      <c r="A149" s="53" t="s">
        <v>142</v>
      </c>
      <c r="B149" s="54">
        <v>2</v>
      </c>
      <c r="C149" s="153" t="str">
        <f t="shared" ref="C149:C156" si="12" xml:space="preserve"> IF(B149="","",setValueToTime(B149))</f>
        <v>0h10min</v>
      </c>
      <c r="D149" s="173" t="s">
        <v>259</v>
      </c>
      <c r="E149" s="231"/>
      <c r="F149" s="232"/>
      <c r="G149" s="51"/>
    </row>
    <row r="150" spans="1:7" s="52" customFormat="1" x14ac:dyDescent="0.3">
      <c r="A150" s="53" t="s">
        <v>142</v>
      </c>
      <c r="B150" s="54">
        <v>6</v>
      </c>
      <c r="C150" s="153" t="str">
        <f t="shared" si="12"/>
        <v>0h30min</v>
      </c>
      <c r="D150" s="55" t="s">
        <v>146</v>
      </c>
      <c r="E150" s="231"/>
      <c r="F150" s="232"/>
      <c r="G150" s="51"/>
    </row>
    <row r="151" spans="1:7" s="52" customFormat="1" x14ac:dyDescent="0.3">
      <c r="A151" s="53" t="s">
        <v>142</v>
      </c>
      <c r="B151" s="54">
        <v>12</v>
      </c>
      <c r="C151" s="153" t="str">
        <f t="shared" si="12"/>
        <v>1h</v>
      </c>
      <c r="D151" s="55" t="s">
        <v>260</v>
      </c>
      <c r="E151" s="231"/>
      <c r="F151" s="232"/>
      <c r="G151" s="51"/>
    </row>
    <row r="152" spans="1:7" s="52" customFormat="1" ht="40.5" x14ac:dyDescent="0.3">
      <c r="A152" s="54" t="s">
        <v>143</v>
      </c>
      <c r="B152" s="54">
        <v>4</v>
      </c>
      <c r="C152" s="154" t="str">
        <f t="shared" si="12"/>
        <v>0h20min</v>
      </c>
      <c r="D152" s="55" t="s">
        <v>269</v>
      </c>
      <c r="E152" s="231"/>
      <c r="F152" s="232"/>
      <c r="G152" s="51"/>
    </row>
    <row r="153" spans="1:7" s="52" customFormat="1" ht="40.5" x14ac:dyDescent="0.3">
      <c r="A153" s="54" t="s">
        <v>143</v>
      </c>
      <c r="B153" s="54">
        <v>6</v>
      </c>
      <c r="C153" s="154" t="str">
        <f t="shared" si="12"/>
        <v>0h30min</v>
      </c>
      <c r="D153" s="55" t="s">
        <v>262</v>
      </c>
      <c r="E153" s="231"/>
      <c r="F153" s="232"/>
      <c r="G153" s="51"/>
    </row>
    <row r="154" spans="1:7" s="52" customFormat="1" ht="40.5" x14ac:dyDescent="0.3">
      <c r="A154" s="54" t="s">
        <v>143</v>
      </c>
      <c r="B154" s="54">
        <v>9</v>
      </c>
      <c r="C154" s="154" t="str">
        <f xml:space="preserve"> IF(B154="","",setValueToTime(B154))</f>
        <v>0h45min</v>
      </c>
      <c r="D154" s="55" t="s">
        <v>264</v>
      </c>
      <c r="E154" s="187"/>
      <c r="F154" s="188"/>
      <c r="G154" s="51"/>
    </row>
    <row r="155" spans="1:7" s="52" customFormat="1" ht="40.5" x14ac:dyDescent="0.3">
      <c r="A155" s="54" t="s">
        <v>143</v>
      </c>
      <c r="B155" s="54">
        <v>6</v>
      </c>
      <c r="C155" s="154" t="str">
        <f t="shared" si="12"/>
        <v>0h30min</v>
      </c>
      <c r="D155" s="55" t="s">
        <v>263</v>
      </c>
      <c r="E155" s="231"/>
      <c r="F155" s="232"/>
      <c r="G155" s="51"/>
    </row>
    <row r="156" spans="1:7" s="52" customFormat="1" ht="27.75" thickBot="1" x14ac:dyDescent="0.35">
      <c r="A156" s="56" t="s">
        <v>14</v>
      </c>
      <c r="B156" s="56">
        <v>2</v>
      </c>
      <c r="C156" s="155" t="str">
        <f t="shared" si="12"/>
        <v>0h10min</v>
      </c>
      <c r="D156" s="57"/>
      <c r="E156" s="233"/>
      <c r="F156" s="234"/>
      <c r="G156" s="51"/>
    </row>
    <row r="157" spans="1:7" s="52" customFormat="1" ht="133.5" customHeight="1" thickBot="1" x14ac:dyDescent="0.35">
      <c r="A157" s="189"/>
      <c r="B157" s="189"/>
      <c r="C157" s="190"/>
      <c r="D157" s="191"/>
      <c r="E157" s="247" t="s">
        <v>276</v>
      </c>
      <c r="F157" s="248"/>
      <c r="G157" s="51"/>
    </row>
    <row r="158" spans="1:7" s="52" customFormat="1" ht="15" thickBot="1" x14ac:dyDescent="0.35">
      <c r="A158" s="162" t="s">
        <v>26</v>
      </c>
      <c r="B158" s="83">
        <f>SUM(B148:B156)</f>
        <v>48</v>
      </c>
      <c r="C158" s="162" t="str">
        <f xml:space="preserve"> setValueToTime(B158)</f>
        <v>4h</v>
      </c>
      <c r="D158" s="121"/>
      <c r="E158" s="243"/>
      <c r="F158" s="244"/>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5" t="s">
        <v>11</v>
      </c>
      <c r="F161" s="246"/>
      <c r="G161" s="46"/>
    </row>
    <row r="162" spans="1:7" s="52" customFormat="1" x14ac:dyDescent="0.3">
      <c r="A162" s="48" t="s">
        <v>129</v>
      </c>
      <c r="B162" s="49">
        <v>6</v>
      </c>
      <c r="C162" s="152" t="str">
        <f xml:space="preserve"> IF(B162="","",setValueToTime(B162))</f>
        <v>0h30min</v>
      </c>
      <c r="D162" s="50" t="s">
        <v>254</v>
      </c>
      <c r="E162" s="239"/>
      <c r="F162" s="240"/>
      <c r="G162" s="51"/>
    </row>
    <row r="163" spans="1:7" s="52" customFormat="1" ht="27" x14ac:dyDescent="0.3">
      <c r="A163" s="53" t="s">
        <v>179</v>
      </c>
      <c r="B163" s="54">
        <v>4</v>
      </c>
      <c r="C163" s="153" t="str">
        <f t="shared" ref="C163:C169" si="13" xml:space="preserve"> IF(B163="","",setValueToTime(B163))</f>
        <v>0h20min</v>
      </c>
      <c r="D163" s="55" t="s">
        <v>257</v>
      </c>
      <c r="E163" s="231"/>
      <c r="F163" s="232"/>
      <c r="G163" s="51"/>
    </row>
    <row r="164" spans="1:7" s="52" customFormat="1" ht="40.5" x14ac:dyDescent="0.3">
      <c r="A164" s="53" t="s">
        <v>152</v>
      </c>
      <c r="B164" s="54">
        <v>24</v>
      </c>
      <c r="C164" s="153" t="str">
        <f t="shared" si="13"/>
        <v>2h</v>
      </c>
      <c r="D164" s="55" t="s">
        <v>255</v>
      </c>
      <c r="E164" s="231"/>
      <c r="F164" s="232"/>
      <c r="G164" s="51"/>
    </row>
    <row r="165" spans="1:7" s="52" customFormat="1" ht="27" x14ac:dyDescent="0.3">
      <c r="A165" s="53" t="s">
        <v>14</v>
      </c>
      <c r="B165" s="54">
        <v>2</v>
      </c>
      <c r="C165" s="153" t="str">
        <f t="shared" si="13"/>
        <v>0h10min</v>
      </c>
      <c r="D165" s="55"/>
      <c r="E165" s="231"/>
      <c r="F165" s="232"/>
      <c r="G165" s="51"/>
    </row>
    <row r="166" spans="1:7" s="52" customFormat="1" ht="27" x14ac:dyDescent="0.3">
      <c r="A166" s="54" t="s">
        <v>172</v>
      </c>
      <c r="B166" s="54">
        <v>2</v>
      </c>
      <c r="C166" s="154" t="str">
        <f t="shared" si="13"/>
        <v>0h10min</v>
      </c>
      <c r="D166" s="55"/>
      <c r="E166" s="231"/>
      <c r="F166" s="232"/>
      <c r="G166" s="51"/>
    </row>
    <row r="167" spans="1:7" s="52" customFormat="1" ht="137.25" customHeight="1" x14ac:dyDescent="0.3">
      <c r="A167" s="54"/>
      <c r="B167" s="54"/>
      <c r="C167" s="154" t="str">
        <f t="shared" si="13"/>
        <v/>
      </c>
      <c r="D167" s="55"/>
      <c r="E167" s="231" t="s">
        <v>256</v>
      </c>
      <c r="F167" s="232"/>
      <c r="G167" s="51"/>
    </row>
    <row r="168" spans="1:7" s="52" customFormat="1" x14ac:dyDescent="0.3">
      <c r="A168" s="54"/>
      <c r="B168" s="54"/>
      <c r="C168" s="154" t="str">
        <f t="shared" si="13"/>
        <v/>
      </c>
      <c r="D168" s="55"/>
      <c r="E168" s="231"/>
      <c r="F168" s="232"/>
      <c r="G168" s="51"/>
    </row>
    <row r="169" spans="1:7" s="52" customFormat="1" ht="15" thickBot="1" x14ac:dyDescent="0.35">
      <c r="A169" s="56"/>
      <c r="B169" s="56"/>
      <c r="C169" s="155" t="str">
        <f t="shared" si="13"/>
        <v/>
      </c>
      <c r="D169" s="57"/>
      <c r="E169" s="233"/>
      <c r="F169" s="234"/>
      <c r="G169" s="51"/>
    </row>
    <row r="170" spans="1:7" s="52" customFormat="1" ht="15" thickBot="1" x14ac:dyDescent="0.35">
      <c r="A170" s="162" t="s">
        <v>26</v>
      </c>
      <c r="B170" s="83">
        <f>SUM(B162:B169)</f>
        <v>38</v>
      </c>
      <c r="C170" s="162" t="str">
        <f xml:space="preserve"> setValueToTime(B170)</f>
        <v>3h10min</v>
      </c>
      <c r="D170" s="121"/>
      <c r="E170" s="243"/>
      <c r="F170" s="244"/>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5" t="s">
        <v>11</v>
      </c>
      <c r="F173" s="246"/>
      <c r="G173" s="46"/>
    </row>
    <row r="174" spans="1:7" s="52" customFormat="1" ht="27" x14ac:dyDescent="0.3">
      <c r="A174" s="48" t="s">
        <v>117</v>
      </c>
      <c r="B174" s="49">
        <v>3</v>
      </c>
      <c r="C174" s="152" t="str">
        <f xml:space="preserve"> IF(B174="","",setValueToTime(B174))</f>
        <v>0h15min</v>
      </c>
      <c r="D174" s="50" t="s">
        <v>246</v>
      </c>
      <c r="E174" s="239"/>
      <c r="F174" s="240"/>
      <c r="G174" s="51"/>
    </row>
    <row r="175" spans="1:7" s="52" customFormat="1" ht="27" x14ac:dyDescent="0.3">
      <c r="A175" s="53" t="s">
        <v>156</v>
      </c>
      <c r="B175" s="54">
        <v>3</v>
      </c>
      <c r="C175" s="153" t="str">
        <f t="shared" ref="C175:C181" si="14" xml:space="preserve"> IF(B175="","",setValueToTime(B175))</f>
        <v>0h15min</v>
      </c>
      <c r="D175" s="55" t="s">
        <v>247</v>
      </c>
      <c r="E175" s="231"/>
      <c r="F175" s="232"/>
      <c r="G175" s="51"/>
    </row>
    <row r="176" spans="1:7" s="52" customFormat="1" ht="27" x14ac:dyDescent="0.3">
      <c r="A176" s="53" t="s">
        <v>124</v>
      </c>
      <c r="B176" s="54">
        <v>12</v>
      </c>
      <c r="C176" s="153" t="str">
        <f t="shared" si="14"/>
        <v>1h</v>
      </c>
      <c r="D176" s="55" t="s">
        <v>248</v>
      </c>
      <c r="E176" s="231"/>
      <c r="F176" s="232"/>
      <c r="G176" s="51"/>
    </row>
    <row r="177" spans="1:7" s="52" customFormat="1" ht="54" x14ac:dyDescent="0.3">
      <c r="A177" s="53" t="s">
        <v>116</v>
      </c>
      <c r="B177" s="54">
        <v>18</v>
      </c>
      <c r="C177" s="153" t="str">
        <f t="shared" si="14"/>
        <v>1h30min</v>
      </c>
      <c r="D177" s="55" t="s">
        <v>249</v>
      </c>
      <c r="E177" s="231"/>
      <c r="F177" s="232"/>
      <c r="G177" s="51"/>
    </row>
    <row r="178" spans="1:7" s="52" customFormat="1" ht="40.5" x14ac:dyDescent="0.3">
      <c r="A178" s="54" t="s">
        <v>152</v>
      </c>
      <c r="B178" s="54">
        <v>1</v>
      </c>
      <c r="C178" s="154" t="str">
        <f t="shared" si="14"/>
        <v>0h5min</v>
      </c>
      <c r="D178" s="55" t="s">
        <v>250</v>
      </c>
      <c r="E178" s="231"/>
      <c r="F178" s="232"/>
      <c r="G178" s="51"/>
    </row>
    <row r="179" spans="1:7" s="52" customFormat="1" ht="40.5" x14ac:dyDescent="0.3">
      <c r="A179" s="54" t="s">
        <v>152</v>
      </c>
      <c r="B179" s="54">
        <v>2</v>
      </c>
      <c r="C179" s="154" t="str">
        <f t="shared" si="14"/>
        <v>0h10min</v>
      </c>
      <c r="D179" s="55" t="s">
        <v>251</v>
      </c>
      <c r="E179" s="231"/>
      <c r="F179" s="232"/>
      <c r="G179" s="51"/>
    </row>
    <row r="180" spans="1:7" s="52" customFormat="1" x14ac:dyDescent="0.3">
      <c r="A180" s="54" t="s">
        <v>129</v>
      </c>
      <c r="B180" s="54">
        <v>7</v>
      </c>
      <c r="C180" s="154" t="str">
        <f t="shared" si="14"/>
        <v>0h35min</v>
      </c>
      <c r="D180" s="55" t="s">
        <v>252</v>
      </c>
      <c r="E180" s="231"/>
      <c r="F180" s="232"/>
      <c r="G180" s="51"/>
    </row>
    <row r="181" spans="1:7" s="52" customFormat="1" ht="141" customHeight="1" thickBot="1" x14ac:dyDescent="0.35">
      <c r="A181" s="56" t="s">
        <v>14</v>
      </c>
      <c r="B181" s="56">
        <v>2</v>
      </c>
      <c r="C181" s="155" t="str">
        <f t="shared" si="14"/>
        <v>0h10min</v>
      </c>
      <c r="D181" s="57"/>
      <c r="E181" s="233" t="s">
        <v>253</v>
      </c>
      <c r="F181" s="234"/>
      <c r="G181" s="51"/>
    </row>
    <row r="182" spans="1:7" s="52" customFormat="1" ht="15" thickBot="1" x14ac:dyDescent="0.35">
      <c r="A182" s="162" t="s">
        <v>26</v>
      </c>
      <c r="B182" s="83">
        <f>SUM(B174:B181)</f>
        <v>48</v>
      </c>
      <c r="C182" s="162" t="str">
        <f xml:space="preserve"> setValueToTime(B182)</f>
        <v>4h</v>
      </c>
      <c r="D182" s="121"/>
      <c r="E182" s="243"/>
      <c r="F182" s="244"/>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5" t="s">
        <v>11</v>
      </c>
      <c r="F185" s="246"/>
      <c r="G185" s="46"/>
    </row>
    <row r="186" spans="1:7" s="52" customFormat="1" ht="27" x14ac:dyDescent="0.3">
      <c r="A186" s="48" t="s">
        <v>117</v>
      </c>
      <c r="B186" s="49">
        <v>5</v>
      </c>
      <c r="C186" s="152" t="str">
        <f xml:space="preserve"> IF(B186="","",setValueToTime(B186))</f>
        <v>0h25min</v>
      </c>
      <c r="D186" s="50" t="s">
        <v>238</v>
      </c>
      <c r="E186" s="239"/>
      <c r="F186" s="240"/>
      <c r="G186" s="51"/>
    </row>
    <row r="187" spans="1:7" s="52" customFormat="1" ht="27" x14ac:dyDescent="0.3">
      <c r="A187" s="53" t="s">
        <v>117</v>
      </c>
      <c r="B187" s="54">
        <v>4</v>
      </c>
      <c r="C187" s="153" t="str">
        <f t="shared" ref="C187:C193" si="15" xml:space="preserve"> IF(B187="","",setValueToTime(B187))</f>
        <v>0h20min</v>
      </c>
      <c r="D187" s="55" t="s">
        <v>239</v>
      </c>
      <c r="E187" s="231"/>
      <c r="F187" s="232"/>
      <c r="G187" s="51"/>
    </row>
    <row r="188" spans="1:7" s="52" customFormat="1" x14ac:dyDescent="0.3">
      <c r="A188" s="53" t="s">
        <v>179</v>
      </c>
      <c r="B188" s="54">
        <v>2</v>
      </c>
      <c r="C188" s="153" t="str">
        <f t="shared" si="15"/>
        <v>0h10min</v>
      </c>
      <c r="D188" s="55" t="s">
        <v>240</v>
      </c>
      <c r="E188" s="231"/>
      <c r="F188" s="232"/>
      <c r="G188" s="51"/>
    </row>
    <row r="189" spans="1:7" s="52" customFormat="1" ht="27" x14ac:dyDescent="0.3">
      <c r="A189" s="53" t="s">
        <v>117</v>
      </c>
      <c r="B189" s="54">
        <v>4</v>
      </c>
      <c r="C189" s="153" t="str">
        <f t="shared" si="15"/>
        <v>0h20min</v>
      </c>
      <c r="D189" s="55" t="s">
        <v>241</v>
      </c>
      <c r="E189" s="231"/>
      <c r="F189" s="232"/>
      <c r="G189" s="51"/>
    </row>
    <row r="190" spans="1:7" s="52" customFormat="1" ht="27" x14ac:dyDescent="0.3">
      <c r="A190" s="54" t="s">
        <v>117</v>
      </c>
      <c r="B190" s="54">
        <v>6</v>
      </c>
      <c r="C190" s="154" t="str">
        <f t="shared" si="15"/>
        <v>0h30min</v>
      </c>
      <c r="D190" s="55" t="s">
        <v>242</v>
      </c>
      <c r="E190" s="231"/>
      <c r="F190" s="232"/>
      <c r="G190" s="51"/>
    </row>
    <row r="191" spans="1:7" s="52" customFormat="1" ht="27" x14ac:dyDescent="0.3">
      <c r="A191" s="54" t="s">
        <v>156</v>
      </c>
      <c r="B191" s="54">
        <v>2</v>
      </c>
      <c r="C191" s="154" t="str">
        <f t="shared" si="15"/>
        <v>0h10min</v>
      </c>
      <c r="D191" s="55" t="s">
        <v>243</v>
      </c>
      <c r="E191" s="231"/>
      <c r="F191" s="232"/>
      <c r="G191" s="51"/>
    </row>
    <row r="192" spans="1:7" s="52" customFormat="1" ht="27" x14ac:dyDescent="0.3">
      <c r="A192" s="54" t="s">
        <v>95</v>
      </c>
      <c r="B192" s="54">
        <v>2</v>
      </c>
      <c r="C192" s="154" t="str">
        <f t="shared" si="15"/>
        <v>0h10min</v>
      </c>
      <c r="D192" s="55"/>
      <c r="E192" s="231"/>
      <c r="F192" s="232"/>
      <c r="G192" s="51"/>
    </row>
    <row r="193" spans="1:7" s="52" customFormat="1" ht="73.5" customHeight="1" thickBot="1" x14ac:dyDescent="0.35">
      <c r="A193" s="56" t="s">
        <v>124</v>
      </c>
      <c r="B193" s="56">
        <v>3</v>
      </c>
      <c r="C193" s="155" t="str">
        <f t="shared" si="15"/>
        <v>0h15min</v>
      </c>
      <c r="D193" s="57" t="s">
        <v>244</v>
      </c>
      <c r="E193" s="233" t="s">
        <v>245</v>
      </c>
      <c r="F193" s="234"/>
      <c r="G193" s="51"/>
    </row>
    <row r="194" spans="1:7" s="52" customFormat="1" ht="15" thickBot="1" x14ac:dyDescent="0.35">
      <c r="A194" s="162" t="s">
        <v>26</v>
      </c>
      <c r="B194" s="83">
        <f>SUM(B186:B193)</f>
        <v>28</v>
      </c>
      <c r="C194" s="162" t="str">
        <f xml:space="preserve"> setValueToTime(B194)</f>
        <v>2h20min</v>
      </c>
      <c r="D194" s="121"/>
      <c r="E194" s="243"/>
      <c r="F194" s="244"/>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5" t="s">
        <v>11</v>
      </c>
      <c r="F197" s="246"/>
      <c r="G197" s="46"/>
    </row>
    <row r="198" spans="1:7" s="52" customFormat="1" x14ac:dyDescent="0.3">
      <c r="A198" s="48" t="s">
        <v>13</v>
      </c>
      <c r="B198" s="49">
        <v>14</v>
      </c>
      <c r="C198" s="152" t="str">
        <f xml:space="preserve"> IF(B198="","",setValueToTime(B198))</f>
        <v>1h10min</v>
      </c>
      <c r="D198" s="50" t="s">
        <v>230</v>
      </c>
      <c r="E198" s="239"/>
      <c r="F198" s="240"/>
      <c r="G198" s="51"/>
    </row>
    <row r="199" spans="1:7" s="52" customFormat="1" ht="27" x14ac:dyDescent="0.3">
      <c r="A199" s="53" t="s">
        <v>14</v>
      </c>
      <c r="B199" s="54">
        <v>2</v>
      </c>
      <c r="C199" s="153" t="str">
        <f t="shared" ref="C199:C205" si="16" xml:space="preserve"> IF(B199="","",setValueToTime(B199))</f>
        <v>0h10min</v>
      </c>
      <c r="D199" s="55" t="s">
        <v>95</v>
      </c>
      <c r="E199" s="231"/>
      <c r="F199" s="232"/>
      <c r="G199" s="51"/>
    </row>
    <row r="200" spans="1:7" s="52" customFormat="1" ht="27" x14ac:dyDescent="0.3">
      <c r="A200" s="53" t="s">
        <v>117</v>
      </c>
      <c r="B200" s="54">
        <v>4</v>
      </c>
      <c r="C200" s="153" t="str">
        <f t="shared" si="16"/>
        <v>0h20min</v>
      </c>
      <c r="D200" s="55" t="s">
        <v>231</v>
      </c>
      <c r="E200" s="231"/>
      <c r="F200" s="232"/>
      <c r="G200" s="51"/>
    </row>
    <row r="201" spans="1:7" s="52" customFormat="1" ht="27" x14ac:dyDescent="0.3">
      <c r="A201" s="53" t="s">
        <v>117</v>
      </c>
      <c r="B201" s="54">
        <v>5</v>
      </c>
      <c r="C201" s="153" t="str">
        <f t="shared" si="16"/>
        <v>0h25min</v>
      </c>
      <c r="D201" s="55" t="s">
        <v>232</v>
      </c>
      <c r="E201" s="231"/>
      <c r="F201" s="232"/>
      <c r="G201" s="51"/>
    </row>
    <row r="202" spans="1:7" s="52" customFormat="1" ht="27" x14ac:dyDescent="0.3">
      <c r="A202" s="54" t="s">
        <v>117</v>
      </c>
      <c r="B202" s="54">
        <v>3</v>
      </c>
      <c r="C202" s="154" t="str">
        <f t="shared" si="16"/>
        <v>0h15min</v>
      </c>
      <c r="D202" s="55" t="s">
        <v>233</v>
      </c>
      <c r="E202" s="231"/>
      <c r="F202" s="232"/>
      <c r="G202" s="51"/>
    </row>
    <row r="203" spans="1:7" s="52" customFormat="1" ht="27" x14ac:dyDescent="0.3">
      <c r="A203" s="54" t="s">
        <v>117</v>
      </c>
      <c r="B203" s="54">
        <v>6</v>
      </c>
      <c r="C203" s="154" t="str">
        <f t="shared" si="16"/>
        <v>0h30min</v>
      </c>
      <c r="D203" s="55" t="s">
        <v>234</v>
      </c>
      <c r="E203" s="231"/>
      <c r="F203" s="232"/>
      <c r="G203" s="51"/>
    </row>
    <row r="204" spans="1:7" s="52" customFormat="1" ht="27" x14ac:dyDescent="0.3">
      <c r="A204" s="54" t="s">
        <v>117</v>
      </c>
      <c r="B204" s="54">
        <v>2</v>
      </c>
      <c r="C204" s="154" t="str">
        <f t="shared" si="16"/>
        <v>0h10min</v>
      </c>
      <c r="D204" s="55" t="s">
        <v>236</v>
      </c>
      <c r="E204" s="231"/>
      <c r="F204" s="232"/>
      <c r="G204" s="51"/>
    </row>
    <row r="205" spans="1:7" s="52" customFormat="1" ht="108.75" customHeight="1" thickBot="1" x14ac:dyDescent="0.35">
      <c r="A205" s="56" t="s">
        <v>172</v>
      </c>
      <c r="B205" s="56">
        <v>2</v>
      </c>
      <c r="C205" s="155" t="str">
        <f t="shared" si="16"/>
        <v>0h10min</v>
      </c>
      <c r="D205" s="57" t="s">
        <v>235</v>
      </c>
      <c r="E205" s="233" t="s">
        <v>237</v>
      </c>
      <c r="F205" s="234"/>
      <c r="G205" s="51"/>
    </row>
    <row r="206" spans="1:7" s="52" customFormat="1" ht="15" thickBot="1" x14ac:dyDescent="0.35">
      <c r="A206" s="162" t="s">
        <v>26</v>
      </c>
      <c r="B206" s="83">
        <f>SUM(B198:B205)</f>
        <v>38</v>
      </c>
      <c r="C206" s="162" t="str">
        <f xml:space="preserve"> setValueToTime(B206)</f>
        <v>3h10min</v>
      </c>
      <c r="D206" s="121"/>
      <c r="E206" s="243"/>
      <c r="F206" s="244"/>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5" t="s">
        <v>11</v>
      </c>
      <c r="F209" s="246"/>
      <c r="G209" s="46"/>
    </row>
    <row r="210" spans="1:7" s="52" customFormat="1" x14ac:dyDescent="0.3">
      <c r="A210" s="48" t="s">
        <v>152</v>
      </c>
      <c r="B210" s="49">
        <v>4</v>
      </c>
      <c r="C210" s="152" t="str">
        <f xml:space="preserve"> IF(B210="","",setValueToTime(B210))</f>
        <v>0h20min</v>
      </c>
      <c r="D210" s="50" t="s">
        <v>223</v>
      </c>
      <c r="E210" s="239"/>
      <c r="F210" s="240"/>
      <c r="G210" s="51"/>
    </row>
    <row r="211" spans="1:7" s="52" customFormat="1" ht="40.5" x14ac:dyDescent="0.3">
      <c r="A211" s="53" t="s">
        <v>13</v>
      </c>
      <c r="B211" s="54">
        <v>26</v>
      </c>
      <c r="C211" s="153" t="str">
        <f t="shared" ref="C211:C217" si="17" xml:space="preserve"> IF(B211="","",setValueToTime(B211))</f>
        <v>2h10min</v>
      </c>
      <c r="D211" s="55" t="s">
        <v>227</v>
      </c>
      <c r="E211" s="231"/>
      <c r="F211" s="232"/>
      <c r="G211" s="51"/>
    </row>
    <row r="212" spans="1:7" s="52" customFormat="1" ht="27" x14ac:dyDescent="0.3">
      <c r="A212" s="53" t="s">
        <v>113</v>
      </c>
      <c r="B212" s="54">
        <v>6</v>
      </c>
      <c r="C212" s="153" t="str">
        <f t="shared" si="17"/>
        <v>0h30min</v>
      </c>
      <c r="D212" s="55" t="s">
        <v>224</v>
      </c>
      <c r="E212" s="242" t="s">
        <v>228</v>
      </c>
      <c r="F212" s="232"/>
      <c r="G212" s="51"/>
    </row>
    <row r="213" spans="1:7" s="52" customFormat="1" ht="27" x14ac:dyDescent="0.3">
      <c r="A213" s="53" t="s">
        <v>94</v>
      </c>
      <c r="B213" s="54">
        <v>2</v>
      </c>
      <c r="C213" s="153" t="str">
        <f t="shared" si="17"/>
        <v>0h10min</v>
      </c>
      <c r="D213" s="55" t="s">
        <v>226</v>
      </c>
      <c r="E213" s="242" t="s">
        <v>225</v>
      </c>
      <c r="F213" s="232"/>
      <c r="G213" s="51"/>
    </row>
    <row r="214" spans="1:7" s="52" customFormat="1" x14ac:dyDescent="0.3">
      <c r="A214" s="54"/>
      <c r="B214" s="54"/>
      <c r="C214" s="154" t="str">
        <f t="shared" si="17"/>
        <v/>
      </c>
      <c r="D214" s="55"/>
      <c r="E214" s="231"/>
      <c r="F214" s="232"/>
      <c r="G214" s="51"/>
    </row>
    <row r="215" spans="1:7" s="52" customFormat="1" x14ac:dyDescent="0.3">
      <c r="A215" s="54"/>
      <c r="B215" s="54"/>
      <c r="C215" s="154" t="str">
        <f t="shared" si="17"/>
        <v/>
      </c>
      <c r="D215" s="55"/>
      <c r="E215" s="231"/>
      <c r="F215" s="232"/>
      <c r="G215" s="51"/>
    </row>
    <row r="216" spans="1:7" s="52" customFormat="1" x14ac:dyDescent="0.3">
      <c r="A216" s="54"/>
      <c r="B216" s="54"/>
      <c r="C216" s="154" t="str">
        <f t="shared" si="17"/>
        <v/>
      </c>
      <c r="D216" s="55"/>
      <c r="E216" s="231"/>
      <c r="F216" s="232"/>
      <c r="G216" s="51"/>
    </row>
    <row r="217" spans="1:7" s="52" customFormat="1" ht="162" customHeight="1" thickBot="1" x14ac:dyDescent="0.35">
      <c r="A217" s="56"/>
      <c r="B217" s="56"/>
      <c r="C217" s="155" t="str">
        <f t="shared" si="17"/>
        <v/>
      </c>
      <c r="D217" s="57"/>
      <c r="E217" s="233" t="s">
        <v>229</v>
      </c>
      <c r="F217" s="234"/>
      <c r="G217" s="51"/>
    </row>
    <row r="218" spans="1:7" s="52" customFormat="1" ht="15" thickBot="1" x14ac:dyDescent="0.35">
      <c r="A218" s="162" t="s">
        <v>26</v>
      </c>
      <c r="B218" s="83">
        <f>SUM(B210:B217)</f>
        <v>38</v>
      </c>
      <c r="C218" s="162" t="str">
        <f xml:space="preserve"> setValueToTime(B218)</f>
        <v>3h10min</v>
      </c>
      <c r="D218" s="121"/>
      <c r="E218" s="243"/>
      <c r="F218" s="244"/>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5" t="s">
        <v>11</v>
      </c>
      <c r="F221" s="246"/>
      <c r="G221" s="46"/>
    </row>
    <row r="222" spans="1:7" s="52" customFormat="1" ht="67.5" x14ac:dyDescent="0.3">
      <c r="A222" s="48" t="s">
        <v>152</v>
      </c>
      <c r="B222" s="49">
        <v>6</v>
      </c>
      <c r="C222" s="152" t="str">
        <f xml:space="preserve"> IF(B222="","",setValueToTime(B222))</f>
        <v>0h30min</v>
      </c>
      <c r="D222" s="50" t="s">
        <v>219</v>
      </c>
      <c r="E222" s="239"/>
      <c r="F222" s="240"/>
      <c r="G222" s="51"/>
    </row>
    <row r="223" spans="1:7" s="52" customFormat="1" ht="27" x14ac:dyDescent="0.3">
      <c r="A223" s="53" t="s">
        <v>113</v>
      </c>
      <c r="B223" s="54">
        <v>2</v>
      </c>
      <c r="C223" s="153" t="str">
        <f t="shared" ref="C223:C229" si="18" xml:space="preserve"> IF(B223="","",setValueToTime(B223))</f>
        <v>0h10min</v>
      </c>
      <c r="D223" s="55" t="s">
        <v>218</v>
      </c>
      <c r="E223" s="231"/>
      <c r="F223" s="232"/>
      <c r="G223" s="51"/>
    </row>
    <row r="224" spans="1:7" s="52" customFormat="1" ht="27" x14ac:dyDescent="0.3">
      <c r="A224" s="53" t="s">
        <v>135</v>
      </c>
      <c r="B224" s="54">
        <v>6</v>
      </c>
      <c r="C224" s="153" t="str">
        <f t="shared" si="18"/>
        <v>0h30min</v>
      </c>
      <c r="D224" s="55" t="s">
        <v>220</v>
      </c>
      <c r="E224" s="231"/>
      <c r="F224" s="232"/>
      <c r="G224" s="51"/>
    </row>
    <row r="225" spans="1:7" s="52" customFormat="1" ht="40.5" x14ac:dyDescent="0.3">
      <c r="A225" s="53" t="s">
        <v>117</v>
      </c>
      <c r="B225" s="54">
        <v>10</v>
      </c>
      <c r="C225" s="153" t="str">
        <f t="shared" si="18"/>
        <v>0h50min</v>
      </c>
      <c r="D225" s="55" t="s">
        <v>221</v>
      </c>
      <c r="E225" s="231"/>
      <c r="F225" s="232"/>
      <c r="G225" s="51"/>
    </row>
    <row r="226" spans="1:7" s="52" customFormat="1" ht="108" x14ac:dyDescent="0.3">
      <c r="A226" s="54" t="s">
        <v>156</v>
      </c>
      <c r="B226" s="54">
        <v>6</v>
      </c>
      <c r="C226" s="154" t="str">
        <f t="shared" si="18"/>
        <v>0h30min</v>
      </c>
      <c r="D226" s="55" t="s">
        <v>217</v>
      </c>
      <c r="E226" s="231"/>
      <c r="F226" s="232"/>
      <c r="G226" s="51"/>
    </row>
    <row r="227" spans="1:7" s="52" customFormat="1" ht="27" x14ac:dyDescent="0.3">
      <c r="A227" s="54" t="s">
        <v>14</v>
      </c>
      <c r="B227" s="54">
        <v>2</v>
      </c>
      <c r="C227" s="154" t="str">
        <f t="shared" si="18"/>
        <v>0h10min</v>
      </c>
      <c r="D227" s="55" t="s">
        <v>95</v>
      </c>
      <c r="E227" s="231"/>
      <c r="F227" s="232"/>
      <c r="G227" s="51"/>
    </row>
    <row r="228" spans="1:7" s="52" customFormat="1" x14ac:dyDescent="0.3">
      <c r="A228" s="54" t="s">
        <v>13</v>
      </c>
      <c r="B228" s="54">
        <v>6</v>
      </c>
      <c r="C228" s="154" t="str">
        <f t="shared" si="18"/>
        <v>0h30min</v>
      </c>
      <c r="D228" s="55" t="s">
        <v>96</v>
      </c>
      <c r="E228" s="231"/>
      <c r="F228" s="232"/>
      <c r="G228" s="51"/>
    </row>
    <row r="229" spans="1:7" s="52" customFormat="1" ht="111" customHeight="1" thickBot="1" x14ac:dyDescent="0.35">
      <c r="A229" s="56"/>
      <c r="B229" s="56"/>
      <c r="C229" s="155" t="str">
        <f t="shared" si="18"/>
        <v/>
      </c>
      <c r="D229" s="57"/>
      <c r="E229" s="233" t="s">
        <v>222</v>
      </c>
      <c r="F229" s="234"/>
      <c r="G229" s="51"/>
    </row>
    <row r="230" spans="1:7" s="52" customFormat="1" ht="15" thickBot="1" x14ac:dyDescent="0.35">
      <c r="A230" s="162" t="s">
        <v>26</v>
      </c>
      <c r="B230" s="83">
        <f>SUM(B222:B229)</f>
        <v>38</v>
      </c>
      <c r="C230" s="162" t="str">
        <f xml:space="preserve"> setValueToTime(B230)</f>
        <v>3h10min</v>
      </c>
      <c r="D230" s="121"/>
      <c r="E230" s="243"/>
      <c r="F230" s="244"/>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5" t="s">
        <v>11</v>
      </c>
      <c r="F233" s="246"/>
      <c r="G233" s="46"/>
    </row>
    <row r="234" spans="1:7" s="52" customFormat="1" x14ac:dyDescent="0.3">
      <c r="A234" s="48" t="s">
        <v>112</v>
      </c>
      <c r="B234" s="49">
        <v>6</v>
      </c>
      <c r="C234" s="152" t="str">
        <f xml:space="preserve"> IF(B234="","",setValueToTime(B234))</f>
        <v>0h30min</v>
      </c>
      <c r="D234" s="50" t="s">
        <v>210</v>
      </c>
      <c r="E234" s="239"/>
      <c r="F234" s="240"/>
      <c r="G234" s="51"/>
    </row>
    <row r="235" spans="1:7" s="52" customFormat="1" ht="43.5" customHeight="1" x14ac:dyDescent="0.3">
      <c r="A235" s="53" t="s">
        <v>172</v>
      </c>
      <c r="B235" s="54">
        <v>9</v>
      </c>
      <c r="C235" s="153" t="str">
        <f t="shared" ref="C235:C241" si="19" xml:space="preserve"> IF(B235="","",setValueToTime(B235))</f>
        <v>0h45min</v>
      </c>
      <c r="D235" s="55" t="s">
        <v>211</v>
      </c>
      <c r="E235" s="231" t="s">
        <v>212</v>
      </c>
      <c r="F235" s="232"/>
      <c r="G235" s="51"/>
    </row>
    <row r="236" spans="1:7" s="52" customFormat="1" x14ac:dyDescent="0.3">
      <c r="A236" s="53" t="s">
        <v>112</v>
      </c>
      <c r="B236" s="54">
        <v>6</v>
      </c>
      <c r="C236" s="153" t="str">
        <f t="shared" si="19"/>
        <v>0h30min</v>
      </c>
      <c r="D236" s="55" t="s">
        <v>214</v>
      </c>
      <c r="E236" s="231"/>
      <c r="F236" s="232"/>
      <c r="G236" s="51"/>
    </row>
    <row r="237" spans="1:7" s="52" customFormat="1" x14ac:dyDescent="0.3">
      <c r="A237" s="53" t="s">
        <v>112</v>
      </c>
      <c r="B237" s="54"/>
      <c r="C237" s="153" t="str">
        <f t="shared" si="19"/>
        <v/>
      </c>
      <c r="D237" s="55"/>
      <c r="E237" s="231"/>
      <c r="F237" s="232"/>
      <c r="G237" s="51"/>
    </row>
    <row r="238" spans="1:7" s="52" customFormat="1" ht="27" x14ac:dyDescent="0.3">
      <c r="A238" s="54" t="s">
        <v>14</v>
      </c>
      <c r="B238" s="54">
        <v>2</v>
      </c>
      <c r="C238" s="154" t="str">
        <f t="shared" si="19"/>
        <v>0h10min</v>
      </c>
      <c r="D238" s="55" t="s">
        <v>95</v>
      </c>
      <c r="E238" s="231"/>
      <c r="F238" s="232"/>
      <c r="G238" s="51"/>
    </row>
    <row r="239" spans="1:7" s="52" customFormat="1" x14ac:dyDescent="0.3">
      <c r="A239" s="54" t="s">
        <v>179</v>
      </c>
      <c r="B239" s="54">
        <v>8</v>
      </c>
      <c r="C239" s="154" t="str">
        <f t="shared" si="19"/>
        <v>0h40min</v>
      </c>
      <c r="D239" s="55" t="s">
        <v>215</v>
      </c>
      <c r="E239" s="231"/>
      <c r="F239" s="232"/>
      <c r="G239" s="51"/>
    </row>
    <row r="240" spans="1:7" s="52" customFormat="1" x14ac:dyDescent="0.3">
      <c r="A240" s="54" t="s">
        <v>13</v>
      </c>
      <c r="B240" s="54">
        <v>7</v>
      </c>
      <c r="C240" s="154" t="str">
        <f t="shared" si="19"/>
        <v>0h35min</v>
      </c>
      <c r="D240" s="55" t="s">
        <v>96</v>
      </c>
      <c r="E240" s="231"/>
      <c r="F240" s="232"/>
      <c r="G240" s="51"/>
    </row>
    <row r="241" spans="1:7" s="52" customFormat="1" ht="59.25" customHeight="1" thickBot="1" x14ac:dyDescent="0.35">
      <c r="A241" s="56"/>
      <c r="B241" s="56"/>
      <c r="C241" s="155" t="str">
        <f t="shared" si="19"/>
        <v/>
      </c>
      <c r="D241" s="57"/>
      <c r="E241" s="233" t="s">
        <v>216</v>
      </c>
      <c r="F241" s="234"/>
      <c r="G241" s="51"/>
    </row>
    <row r="242" spans="1:7" s="52" customFormat="1" ht="15" thickBot="1" x14ac:dyDescent="0.35">
      <c r="A242" s="162" t="s">
        <v>26</v>
      </c>
      <c r="B242" s="83">
        <f>SUM(B234:B241)</f>
        <v>38</v>
      </c>
      <c r="C242" s="162" t="str">
        <f xml:space="preserve"> setValueToTime(B242)</f>
        <v>3h10min</v>
      </c>
      <c r="D242" s="121"/>
      <c r="E242" s="243"/>
      <c r="F242" s="244"/>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5" t="s">
        <v>11</v>
      </c>
      <c r="F245" s="246"/>
      <c r="G245" s="46"/>
    </row>
    <row r="246" spans="1:7" s="52" customFormat="1" ht="27" x14ac:dyDescent="0.3">
      <c r="A246" s="48" t="s">
        <v>152</v>
      </c>
      <c r="B246" s="49">
        <v>2</v>
      </c>
      <c r="C246" s="152" t="str">
        <f xml:space="preserve"> IF(B246="","",setValueToTime(B246))</f>
        <v>0h10min</v>
      </c>
      <c r="D246" s="50" t="s">
        <v>204</v>
      </c>
      <c r="E246" s="239"/>
      <c r="F246" s="240"/>
      <c r="G246" s="51"/>
    </row>
    <row r="247" spans="1:7" s="52" customFormat="1" ht="27" x14ac:dyDescent="0.3">
      <c r="A247" s="53" t="s">
        <v>152</v>
      </c>
      <c r="B247" s="54">
        <v>1</v>
      </c>
      <c r="C247" s="153" t="str">
        <f xml:space="preserve"> IF(B247="","",setValueToTime(B247))</f>
        <v>0h5min</v>
      </c>
      <c r="D247" s="55" t="s">
        <v>205</v>
      </c>
      <c r="E247" s="231"/>
      <c r="F247" s="232"/>
      <c r="G247" s="51"/>
    </row>
    <row r="248" spans="1:7" s="52" customFormat="1" ht="27" x14ac:dyDescent="0.3">
      <c r="A248" s="53" t="s">
        <v>14</v>
      </c>
      <c r="B248" s="54">
        <v>2</v>
      </c>
      <c r="C248" s="153" t="str">
        <f t="shared" ref="C248:C253" si="20" xml:space="preserve"> IF(B248="","",setValueToTime(B248))</f>
        <v>0h10min</v>
      </c>
      <c r="D248" s="55" t="s">
        <v>195</v>
      </c>
      <c r="E248" s="231"/>
      <c r="F248" s="232"/>
      <c r="G248" s="51"/>
    </row>
    <row r="249" spans="1:7" s="52" customFormat="1" x14ac:dyDescent="0.3">
      <c r="A249" s="53" t="s">
        <v>13</v>
      </c>
      <c r="B249" s="54">
        <v>5</v>
      </c>
      <c r="C249" s="153" t="str">
        <f t="shared" si="20"/>
        <v>0h25min</v>
      </c>
      <c r="D249" s="55" t="s">
        <v>206</v>
      </c>
      <c r="E249" s="231"/>
      <c r="F249" s="232"/>
      <c r="G249" s="51"/>
    </row>
    <row r="250" spans="1:7" s="52" customFormat="1" x14ac:dyDescent="0.3">
      <c r="A250" s="54" t="s">
        <v>112</v>
      </c>
      <c r="B250" s="54">
        <v>6</v>
      </c>
      <c r="C250" s="154" t="str">
        <f t="shared" si="20"/>
        <v>0h30min</v>
      </c>
      <c r="D250" s="55" t="s">
        <v>207</v>
      </c>
      <c r="E250" s="231"/>
      <c r="F250" s="232"/>
      <c r="G250" s="51"/>
    </row>
    <row r="251" spans="1:7" s="52" customFormat="1" x14ac:dyDescent="0.3">
      <c r="A251" s="54" t="s">
        <v>112</v>
      </c>
      <c r="B251" s="54">
        <v>6</v>
      </c>
      <c r="C251" s="154" t="str">
        <f t="shared" si="20"/>
        <v>0h30min</v>
      </c>
      <c r="D251" s="55" t="s">
        <v>208</v>
      </c>
      <c r="E251" s="231"/>
      <c r="F251" s="232"/>
      <c r="G251" s="51"/>
    </row>
    <row r="252" spans="1:7" s="52" customFormat="1" x14ac:dyDescent="0.3">
      <c r="A252" s="54" t="s">
        <v>112</v>
      </c>
      <c r="B252" s="54">
        <v>6</v>
      </c>
      <c r="C252" s="154" t="str">
        <f t="shared" si="20"/>
        <v>0h30min</v>
      </c>
      <c r="D252" s="55" t="s">
        <v>209</v>
      </c>
      <c r="E252" s="231"/>
      <c r="F252" s="232"/>
      <c r="G252" s="51"/>
    </row>
    <row r="253" spans="1:7" s="52" customFormat="1" ht="123" customHeight="1" thickBot="1" x14ac:dyDescent="0.35">
      <c r="A253" s="56"/>
      <c r="B253" s="56"/>
      <c r="C253" s="155" t="str">
        <f t="shared" si="20"/>
        <v/>
      </c>
      <c r="D253" s="57"/>
      <c r="E253" s="233" t="s">
        <v>213</v>
      </c>
      <c r="F253" s="234"/>
      <c r="G253" s="51"/>
    </row>
    <row r="254" spans="1:7" s="52" customFormat="1" ht="15" thickBot="1" x14ac:dyDescent="0.35">
      <c r="A254" s="162" t="s">
        <v>26</v>
      </c>
      <c r="B254" s="83">
        <f>SUM(B246:B253)</f>
        <v>28</v>
      </c>
      <c r="C254" s="162" t="str">
        <f xml:space="preserve"> setValueToTime(B254)</f>
        <v>2h20min</v>
      </c>
      <c r="D254" s="121"/>
      <c r="E254" s="243"/>
      <c r="F254" s="244"/>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5" t="s">
        <v>11</v>
      </c>
      <c r="F257" s="246"/>
      <c r="G257" s="46"/>
    </row>
    <row r="258" spans="1:7" s="52" customFormat="1" ht="27" x14ac:dyDescent="0.3">
      <c r="A258" s="48" t="s">
        <v>13</v>
      </c>
      <c r="B258" s="49">
        <v>23</v>
      </c>
      <c r="C258" s="152" t="str">
        <f xml:space="preserve"> IF(B258="","",setValueToTime(B258))</f>
        <v>1h55min</v>
      </c>
      <c r="D258" s="50" t="s">
        <v>198</v>
      </c>
      <c r="E258" s="241"/>
      <c r="F258" s="249"/>
      <c r="G258" s="51"/>
    </row>
    <row r="259" spans="1:7" s="52" customFormat="1" ht="27" x14ac:dyDescent="0.3">
      <c r="A259" s="53" t="s">
        <v>14</v>
      </c>
      <c r="B259" s="54">
        <v>3</v>
      </c>
      <c r="C259" s="153" t="str">
        <f t="shared" ref="C259:C265" si="21" xml:space="preserve"> IF(B259="","",setValueToTime(B259))</f>
        <v>0h15min</v>
      </c>
      <c r="D259" s="55" t="s">
        <v>195</v>
      </c>
      <c r="E259" s="231"/>
      <c r="F259" s="232"/>
      <c r="G259" s="51"/>
    </row>
    <row r="260" spans="1:7" s="52" customFormat="1" x14ac:dyDescent="0.3">
      <c r="A260" s="53" t="s">
        <v>112</v>
      </c>
      <c r="B260" s="54">
        <v>6</v>
      </c>
      <c r="C260" s="153" t="str">
        <f t="shared" si="21"/>
        <v>0h30min</v>
      </c>
      <c r="D260" s="55" t="s">
        <v>202</v>
      </c>
      <c r="E260" s="231"/>
      <c r="F260" s="232"/>
      <c r="G260" s="51"/>
    </row>
    <row r="261" spans="1:7" s="52" customFormat="1" x14ac:dyDescent="0.3">
      <c r="A261" s="53" t="s">
        <v>112</v>
      </c>
      <c r="B261" s="54">
        <v>4</v>
      </c>
      <c r="C261" s="153" t="str">
        <f t="shared" si="21"/>
        <v>0h20min</v>
      </c>
      <c r="D261" s="55" t="s">
        <v>201</v>
      </c>
      <c r="E261" s="231"/>
      <c r="F261" s="232"/>
      <c r="G261" s="51"/>
    </row>
    <row r="262" spans="1:7" s="52" customFormat="1" ht="27" x14ac:dyDescent="0.3">
      <c r="A262" s="54" t="s">
        <v>172</v>
      </c>
      <c r="B262" s="54">
        <v>2</v>
      </c>
      <c r="C262" s="154" t="str">
        <f t="shared" si="21"/>
        <v>0h10min</v>
      </c>
      <c r="D262" s="55" t="s">
        <v>203</v>
      </c>
      <c r="E262" s="231"/>
      <c r="F262" s="232"/>
      <c r="G262" s="51"/>
    </row>
    <row r="263" spans="1:7" s="52" customFormat="1" x14ac:dyDescent="0.3">
      <c r="A263" s="54"/>
      <c r="B263" s="54"/>
      <c r="C263" s="154" t="str">
        <f t="shared" si="21"/>
        <v/>
      </c>
      <c r="D263" s="55"/>
      <c r="E263" s="231"/>
      <c r="F263" s="232"/>
      <c r="G263" s="51"/>
    </row>
    <row r="264" spans="1:7" s="52" customFormat="1" x14ac:dyDescent="0.3">
      <c r="A264" s="54"/>
      <c r="B264" s="54"/>
      <c r="C264" s="154" t="str">
        <f t="shared" si="21"/>
        <v/>
      </c>
      <c r="D264" s="55"/>
      <c r="E264" s="231"/>
      <c r="F264" s="232"/>
      <c r="G264" s="51"/>
    </row>
    <row r="265" spans="1:7" s="52" customFormat="1" ht="156.75" customHeight="1" thickBot="1" x14ac:dyDescent="0.35">
      <c r="A265" s="56"/>
      <c r="B265" s="56"/>
      <c r="C265" s="155" t="str">
        <f t="shared" si="21"/>
        <v/>
      </c>
      <c r="D265" s="57"/>
      <c r="E265" s="233" t="s">
        <v>200</v>
      </c>
      <c r="F265" s="234"/>
      <c r="G265" s="51"/>
    </row>
    <row r="266" spans="1:7" s="52" customFormat="1" ht="15" thickBot="1" x14ac:dyDescent="0.35">
      <c r="A266" s="162" t="s">
        <v>26</v>
      </c>
      <c r="B266" s="83">
        <f>SUM(B258:B265)</f>
        <v>38</v>
      </c>
      <c r="C266" s="162" t="str">
        <f xml:space="preserve"> setValueToTime(B266)</f>
        <v>3h10min</v>
      </c>
      <c r="D266" s="121"/>
      <c r="E266" s="243"/>
      <c r="F266" s="244"/>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5" t="s">
        <v>11</v>
      </c>
      <c r="F269" s="246"/>
      <c r="G269" s="46"/>
    </row>
    <row r="270" spans="1:7" s="52" customFormat="1" ht="40.5" x14ac:dyDescent="0.3">
      <c r="A270" s="48" t="s">
        <v>94</v>
      </c>
      <c r="B270" s="49">
        <v>12</v>
      </c>
      <c r="C270" s="152" t="str">
        <f xml:space="preserve"> IF(B270="","",setValueToTime(B270))</f>
        <v>1h</v>
      </c>
      <c r="D270" s="50" t="s">
        <v>199</v>
      </c>
      <c r="E270" s="239" t="s">
        <v>193</v>
      </c>
      <c r="F270" s="240"/>
      <c r="G270" s="51"/>
    </row>
    <row r="271" spans="1:7" s="52" customFormat="1" x14ac:dyDescent="0.3">
      <c r="A271" s="53" t="s">
        <v>112</v>
      </c>
      <c r="B271" s="54">
        <v>18</v>
      </c>
      <c r="C271" s="153" t="str">
        <f t="shared" ref="C271:C277" si="22" xml:space="preserve"> IF(B271="","",setValueToTime(B271))</f>
        <v>1h30min</v>
      </c>
      <c r="D271" s="55" t="s">
        <v>196</v>
      </c>
      <c r="E271" s="231"/>
      <c r="F271" s="232"/>
      <c r="G271" s="51"/>
    </row>
    <row r="272" spans="1:7" s="52" customFormat="1" x14ac:dyDescent="0.3">
      <c r="A272" s="53" t="s">
        <v>13</v>
      </c>
      <c r="B272" s="54">
        <v>6</v>
      </c>
      <c r="C272" s="153" t="str">
        <f t="shared" si="22"/>
        <v>0h30min</v>
      </c>
      <c r="D272" s="55" t="s">
        <v>197</v>
      </c>
      <c r="E272" s="242"/>
      <c r="F272" s="250"/>
      <c r="G272" s="51"/>
    </row>
    <row r="273" spans="1:7" s="52" customFormat="1" ht="27" x14ac:dyDescent="0.3">
      <c r="A273" s="53" t="s">
        <v>14</v>
      </c>
      <c r="B273" s="54">
        <v>2</v>
      </c>
      <c r="C273" s="153" t="str">
        <f t="shared" si="22"/>
        <v>0h10min</v>
      </c>
      <c r="D273" s="55"/>
      <c r="E273" s="231"/>
      <c r="F273" s="232"/>
      <c r="G273" s="51"/>
    </row>
    <row r="274" spans="1:7" s="52" customFormat="1" x14ac:dyDescent="0.3">
      <c r="A274" s="54"/>
      <c r="B274" s="54"/>
      <c r="C274" s="154" t="str">
        <f t="shared" si="22"/>
        <v/>
      </c>
      <c r="D274" s="55"/>
      <c r="E274" s="231"/>
      <c r="F274" s="232"/>
      <c r="G274" s="51"/>
    </row>
    <row r="275" spans="1:7" s="52" customFormat="1" x14ac:dyDescent="0.3">
      <c r="A275" s="54"/>
      <c r="B275" s="54"/>
      <c r="C275" s="154" t="str">
        <f t="shared" si="22"/>
        <v/>
      </c>
      <c r="D275" s="55"/>
      <c r="E275" s="231"/>
      <c r="F275" s="232"/>
      <c r="G275" s="51"/>
    </row>
    <row r="276" spans="1:7" s="52" customFormat="1" x14ac:dyDescent="0.3">
      <c r="A276" s="54"/>
      <c r="B276" s="54"/>
      <c r="C276" s="154" t="str">
        <f t="shared" si="22"/>
        <v/>
      </c>
      <c r="D276" s="55"/>
      <c r="E276" s="231"/>
      <c r="F276" s="232"/>
      <c r="G276" s="51"/>
    </row>
    <row r="277" spans="1:7" s="52" customFormat="1" ht="59.25" customHeight="1" thickBot="1" x14ac:dyDescent="0.35">
      <c r="A277" s="56"/>
      <c r="B277" s="56"/>
      <c r="C277" s="155" t="str">
        <f t="shared" si="22"/>
        <v/>
      </c>
      <c r="D277" s="57"/>
      <c r="E277" s="233" t="s">
        <v>194</v>
      </c>
      <c r="F277" s="234"/>
      <c r="G277" s="51"/>
    </row>
    <row r="278" spans="1:7" s="52" customFormat="1" ht="15" thickBot="1" x14ac:dyDescent="0.35">
      <c r="A278" s="162" t="s">
        <v>26</v>
      </c>
      <c r="B278" s="83">
        <f>SUM(B270:B277)</f>
        <v>38</v>
      </c>
      <c r="C278" s="162" t="str">
        <f xml:space="preserve"> setValueToTime(B278)</f>
        <v>3h10min</v>
      </c>
      <c r="D278" s="121"/>
      <c r="E278" s="243"/>
      <c r="F278" s="244"/>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5" t="s">
        <v>11</v>
      </c>
      <c r="F281" s="246"/>
      <c r="G281" s="46"/>
    </row>
    <row r="282" spans="1:7" s="52" customFormat="1" ht="27" x14ac:dyDescent="0.3">
      <c r="A282" s="48" t="s">
        <v>94</v>
      </c>
      <c r="B282" s="49">
        <v>6</v>
      </c>
      <c r="C282" s="152" t="str">
        <f xml:space="preserve"> IF(B282="","",setValueToTime(B282))</f>
        <v>0h30min</v>
      </c>
      <c r="D282" s="50" t="s">
        <v>189</v>
      </c>
      <c r="E282" s="239"/>
      <c r="F282" s="240"/>
      <c r="G282" s="51"/>
    </row>
    <row r="283" spans="1:7" s="52" customFormat="1" ht="27" x14ac:dyDescent="0.3">
      <c r="A283" s="53" t="s">
        <v>97</v>
      </c>
      <c r="B283" s="54">
        <v>16</v>
      </c>
      <c r="C283" s="153" t="str">
        <f xml:space="preserve"> IF(B283="","",setValueToTime(B283))</f>
        <v>1h20min</v>
      </c>
      <c r="D283" s="55" t="s">
        <v>191</v>
      </c>
      <c r="E283" s="231"/>
      <c r="F283" s="232"/>
      <c r="G283" s="51"/>
    </row>
    <row r="284" spans="1:7" s="52" customFormat="1" ht="27" x14ac:dyDescent="0.3">
      <c r="A284" s="53" t="s">
        <v>13</v>
      </c>
      <c r="B284" s="54">
        <v>14</v>
      </c>
      <c r="C284" s="153" t="str">
        <f t="shared" ref="C284:C289" si="23" xml:space="preserve"> IF(B284="","",setValueToTime(B284))</f>
        <v>1h10min</v>
      </c>
      <c r="D284" s="55" t="s">
        <v>192</v>
      </c>
      <c r="E284" s="242"/>
      <c r="F284" s="250"/>
      <c r="G284" s="51"/>
    </row>
    <row r="285" spans="1:7" s="52" customFormat="1" ht="27" x14ac:dyDescent="0.3">
      <c r="A285" s="53" t="s">
        <v>14</v>
      </c>
      <c r="B285" s="54">
        <v>2</v>
      </c>
      <c r="C285" s="153" t="str">
        <f t="shared" si="23"/>
        <v>0h10min</v>
      </c>
      <c r="D285" s="55" t="s">
        <v>95</v>
      </c>
      <c r="E285" s="231"/>
      <c r="F285" s="232"/>
      <c r="G285" s="51"/>
    </row>
    <row r="286" spans="1:7" s="52" customFormat="1" x14ac:dyDescent="0.3">
      <c r="A286" s="54"/>
      <c r="B286" s="54"/>
      <c r="C286" s="154" t="str">
        <f t="shared" si="23"/>
        <v/>
      </c>
      <c r="D286" s="55"/>
      <c r="E286" s="231"/>
      <c r="F286" s="232"/>
      <c r="G286" s="51"/>
    </row>
    <row r="287" spans="1:7" s="52" customFormat="1" x14ac:dyDescent="0.3">
      <c r="A287" s="54"/>
      <c r="B287" s="54"/>
      <c r="C287" s="154" t="str">
        <f t="shared" si="23"/>
        <v/>
      </c>
      <c r="D287" s="55"/>
      <c r="E287" s="231"/>
      <c r="F287" s="232"/>
      <c r="G287" s="51"/>
    </row>
    <row r="288" spans="1:7" s="52" customFormat="1" x14ac:dyDescent="0.3">
      <c r="A288" s="54"/>
      <c r="B288" s="54"/>
      <c r="C288" s="154" t="str">
        <f t="shared" si="23"/>
        <v/>
      </c>
      <c r="D288" s="55"/>
      <c r="E288" s="231"/>
      <c r="F288" s="232"/>
      <c r="G288" s="51"/>
    </row>
    <row r="289" spans="1:7" s="52" customFormat="1" ht="96.75" customHeight="1" thickBot="1" x14ac:dyDescent="0.35">
      <c r="A289" s="56"/>
      <c r="B289" s="56"/>
      <c r="C289" s="155" t="str">
        <f t="shared" si="23"/>
        <v/>
      </c>
      <c r="D289" s="57"/>
      <c r="E289" s="233" t="s">
        <v>190</v>
      </c>
      <c r="F289" s="234"/>
      <c r="G289" s="51"/>
    </row>
    <row r="290" spans="1:7" s="52" customFormat="1" ht="15" thickBot="1" x14ac:dyDescent="0.35">
      <c r="A290" s="162" t="s">
        <v>26</v>
      </c>
      <c r="B290" s="83">
        <f>SUM(B282:B289)</f>
        <v>38</v>
      </c>
      <c r="C290" s="162" t="str">
        <f xml:space="preserve"> setValueToTime(B290)</f>
        <v>3h10min</v>
      </c>
      <c r="D290" s="121"/>
      <c r="E290" s="243"/>
      <c r="F290" s="244"/>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5" t="s">
        <v>11</v>
      </c>
      <c r="F293" s="246"/>
      <c r="G293" s="46"/>
    </row>
    <row r="294" spans="1:7" s="52" customFormat="1" ht="55.5" customHeight="1" x14ac:dyDescent="0.3">
      <c r="A294" s="48" t="s">
        <v>179</v>
      </c>
      <c r="B294" s="49">
        <v>1</v>
      </c>
      <c r="C294" s="152" t="str">
        <f xml:space="preserve"> IF(B294="","",setValueToTime(B294))</f>
        <v>0h5min</v>
      </c>
      <c r="D294" s="50" t="s">
        <v>182</v>
      </c>
      <c r="E294" s="239" t="s">
        <v>183</v>
      </c>
      <c r="F294" s="240"/>
      <c r="G294" s="51"/>
    </row>
    <row r="295" spans="1:7" s="52" customFormat="1" x14ac:dyDescent="0.3">
      <c r="A295" s="53" t="s">
        <v>13</v>
      </c>
      <c r="B295" s="54">
        <v>27</v>
      </c>
      <c r="C295" s="153" t="str">
        <f t="shared" ref="C295:C301" si="24" xml:space="preserve"> IF(B295="","",setValueToTime(B295))</f>
        <v>2h15min</v>
      </c>
      <c r="D295" s="55" t="s">
        <v>185</v>
      </c>
      <c r="E295" s="242"/>
      <c r="F295" s="250"/>
      <c r="G295" s="51"/>
    </row>
    <row r="296" spans="1:7" s="52" customFormat="1" ht="27" x14ac:dyDescent="0.3">
      <c r="A296" s="53" t="s">
        <v>94</v>
      </c>
      <c r="B296" s="54">
        <v>8</v>
      </c>
      <c r="C296" s="153" t="str">
        <f t="shared" si="24"/>
        <v>0h40min</v>
      </c>
      <c r="D296" s="55" t="s">
        <v>186</v>
      </c>
      <c r="E296" s="231"/>
      <c r="F296" s="232"/>
      <c r="G296" s="51"/>
    </row>
    <row r="297" spans="1:7" s="52" customFormat="1" ht="27" x14ac:dyDescent="0.3">
      <c r="A297" s="53" t="s">
        <v>14</v>
      </c>
      <c r="B297" s="54">
        <v>2</v>
      </c>
      <c r="C297" s="153" t="str">
        <f t="shared" si="24"/>
        <v>0h10min</v>
      </c>
      <c r="D297" s="55" t="s">
        <v>188</v>
      </c>
      <c r="E297" s="231"/>
      <c r="F297" s="232"/>
      <c r="G297" s="51"/>
    </row>
    <row r="298" spans="1:7" s="52" customFormat="1" x14ac:dyDescent="0.3">
      <c r="A298" s="54"/>
      <c r="B298" s="54"/>
      <c r="C298" s="154" t="str">
        <f t="shared" si="24"/>
        <v/>
      </c>
      <c r="D298" s="55"/>
      <c r="E298" s="231"/>
      <c r="F298" s="232"/>
      <c r="G298" s="51"/>
    </row>
    <row r="299" spans="1:7" s="52" customFormat="1" x14ac:dyDescent="0.3">
      <c r="A299" s="54"/>
      <c r="B299" s="54"/>
      <c r="C299" s="154" t="str">
        <f t="shared" si="24"/>
        <v/>
      </c>
      <c r="D299" s="55"/>
      <c r="E299" s="231"/>
      <c r="F299" s="232"/>
      <c r="G299" s="51"/>
    </row>
    <row r="300" spans="1:7" s="52" customFormat="1" x14ac:dyDescent="0.3">
      <c r="A300" s="54"/>
      <c r="B300" s="54"/>
      <c r="C300" s="154" t="str">
        <f t="shared" si="24"/>
        <v/>
      </c>
      <c r="D300" s="55"/>
      <c r="E300" s="231"/>
      <c r="F300" s="232"/>
      <c r="G300" s="51"/>
    </row>
    <row r="301" spans="1:7" s="52" customFormat="1" ht="102" customHeight="1" thickBot="1" x14ac:dyDescent="0.35">
      <c r="A301" s="56"/>
      <c r="B301" s="56"/>
      <c r="C301" s="155" t="str">
        <f t="shared" si="24"/>
        <v/>
      </c>
      <c r="D301" s="57"/>
      <c r="E301" s="233" t="s">
        <v>187</v>
      </c>
      <c r="F301" s="234"/>
      <c r="G301" s="51"/>
    </row>
    <row r="302" spans="1:7" s="52" customFormat="1" ht="15" thickBot="1" x14ac:dyDescent="0.35">
      <c r="A302" s="162" t="s">
        <v>26</v>
      </c>
      <c r="B302" s="83">
        <f>SUM(B294:B301)</f>
        <v>38</v>
      </c>
      <c r="C302" s="162" t="str">
        <f xml:space="preserve"> setValueToTime(B302)</f>
        <v>3h10min</v>
      </c>
      <c r="D302" s="121"/>
      <c r="E302" s="243"/>
      <c r="F302" s="244"/>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5" t="s">
        <v>11</v>
      </c>
      <c r="F305" s="246"/>
      <c r="G305" s="46"/>
    </row>
    <row r="306" spans="1:7" s="52" customFormat="1" ht="40.5" x14ac:dyDescent="0.3">
      <c r="A306" s="48" t="s">
        <v>93</v>
      </c>
      <c r="B306" s="49">
        <v>26</v>
      </c>
      <c r="C306" s="152" t="str">
        <f xml:space="preserve"> IF(B306="","",setValueToTime(B306))</f>
        <v>2h10min</v>
      </c>
      <c r="D306" s="50" t="s">
        <v>177</v>
      </c>
      <c r="E306" s="241" t="s">
        <v>178</v>
      </c>
      <c r="F306" s="240"/>
      <c r="G306" s="51"/>
    </row>
    <row r="307" spans="1:7" s="52" customFormat="1" ht="27" x14ac:dyDescent="0.3">
      <c r="A307" s="53" t="s">
        <v>179</v>
      </c>
      <c r="B307" s="54">
        <v>1</v>
      </c>
      <c r="C307" s="153" t="str">
        <f t="shared" ref="C307:C313" si="25" xml:space="preserve"> IF(B307="","",setValueToTime(B307))</f>
        <v>0h5min</v>
      </c>
      <c r="D307" s="55" t="s">
        <v>180</v>
      </c>
      <c r="E307" s="231"/>
      <c r="F307" s="232"/>
      <c r="G307" s="51"/>
    </row>
    <row r="308" spans="1:7" s="52" customFormat="1" x14ac:dyDescent="0.3">
      <c r="A308" s="53" t="s">
        <v>13</v>
      </c>
      <c r="B308" s="54">
        <v>9</v>
      </c>
      <c r="C308" s="153" t="str">
        <f t="shared" si="25"/>
        <v>0h45min</v>
      </c>
      <c r="D308" s="55" t="s">
        <v>184</v>
      </c>
      <c r="E308" s="242"/>
      <c r="F308" s="250"/>
      <c r="G308" s="51"/>
    </row>
    <row r="309" spans="1:7" s="52" customFormat="1" ht="27" x14ac:dyDescent="0.3">
      <c r="A309" s="53" t="s">
        <v>14</v>
      </c>
      <c r="B309" s="54">
        <v>2</v>
      </c>
      <c r="C309" s="153" t="str">
        <f t="shared" si="25"/>
        <v>0h10min</v>
      </c>
      <c r="D309" s="55" t="s">
        <v>95</v>
      </c>
      <c r="E309" s="231"/>
      <c r="F309" s="232"/>
      <c r="G309" s="51"/>
    </row>
    <row r="310" spans="1:7" s="52" customFormat="1" ht="96" customHeight="1" x14ac:dyDescent="0.3">
      <c r="A310" s="54"/>
      <c r="B310" s="54"/>
      <c r="C310" s="154" t="str">
        <f t="shared" si="25"/>
        <v/>
      </c>
      <c r="D310" s="55"/>
      <c r="E310" s="231" t="s">
        <v>181</v>
      </c>
      <c r="F310" s="232"/>
      <c r="G310" s="51"/>
    </row>
    <row r="311" spans="1:7" s="52" customFormat="1" x14ac:dyDescent="0.3">
      <c r="A311" s="54"/>
      <c r="B311" s="54"/>
      <c r="C311" s="154" t="str">
        <f t="shared" si="25"/>
        <v/>
      </c>
      <c r="D311" s="55"/>
      <c r="E311" s="231"/>
      <c r="F311" s="232"/>
      <c r="G311" s="51"/>
    </row>
    <row r="312" spans="1:7" s="52" customFormat="1" x14ac:dyDescent="0.3">
      <c r="A312" s="54"/>
      <c r="B312" s="54"/>
      <c r="C312" s="154" t="str">
        <f t="shared" si="25"/>
        <v/>
      </c>
      <c r="D312" s="55"/>
      <c r="E312" s="231"/>
      <c r="F312" s="232"/>
      <c r="G312" s="51"/>
    </row>
    <row r="313" spans="1:7" s="52" customFormat="1" ht="15" thickBot="1" x14ac:dyDescent="0.35">
      <c r="A313" s="56"/>
      <c r="B313" s="56"/>
      <c r="C313" s="155" t="str">
        <f t="shared" si="25"/>
        <v/>
      </c>
      <c r="D313" s="57"/>
      <c r="E313" s="233"/>
      <c r="F313" s="234"/>
      <c r="G313" s="51"/>
    </row>
    <row r="314" spans="1:7" s="52" customFormat="1" ht="15" thickBot="1" x14ac:dyDescent="0.35">
      <c r="A314" s="162" t="s">
        <v>26</v>
      </c>
      <c r="B314" s="83">
        <f>SUM(B306:B313)</f>
        <v>38</v>
      </c>
      <c r="C314" s="162" t="str">
        <f xml:space="preserve"> setValueToTime(B314)</f>
        <v>3h10min</v>
      </c>
      <c r="D314" s="121"/>
      <c r="E314" s="243"/>
      <c r="F314" s="244"/>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5" t="s">
        <v>11</v>
      </c>
      <c r="F317" s="246"/>
      <c r="G317" s="46"/>
    </row>
    <row r="318" spans="1:7" s="52" customFormat="1" ht="27" x14ac:dyDescent="0.3">
      <c r="A318" s="48" t="s">
        <v>29</v>
      </c>
      <c r="B318" s="49">
        <v>40</v>
      </c>
      <c r="C318" s="152" t="str">
        <f xml:space="preserve"> IF(B318="","",setValueToTime(B318))</f>
        <v>3h20min</v>
      </c>
      <c r="D318" s="55" t="s">
        <v>90</v>
      </c>
      <c r="E318" s="242" t="s">
        <v>91</v>
      </c>
      <c r="F318" s="232"/>
      <c r="G318" s="51"/>
    </row>
    <row r="319" spans="1:7" s="52" customFormat="1" ht="27" x14ac:dyDescent="0.3">
      <c r="A319" s="53" t="s">
        <v>29</v>
      </c>
      <c r="B319" s="54">
        <v>7</v>
      </c>
      <c r="C319" s="153" t="str">
        <f t="shared" ref="C319:C320" si="26" xml:space="preserve"> IF(B319="","",setValueToTime(B319))</f>
        <v>0h35min</v>
      </c>
      <c r="D319" s="55" t="s">
        <v>92</v>
      </c>
      <c r="E319" s="231"/>
      <c r="F319" s="232"/>
      <c r="G319" s="51"/>
    </row>
    <row r="320" spans="1:7" s="52" customFormat="1" ht="27" x14ac:dyDescent="0.3">
      <c r="A320" s="53" t="s">
        <v>172</v>
      </c>
      <c r="B320" s="54">
        <v>1</v>
      </c>
      <c r="C320" s="153" t="str">
        <f t="shared" si="26"/>
        <v>0h5min</v>
      </c>
      <c r="D320" s="55" t="s">
        <v>173</v>
      </c>
      <c r="E320" s="231"/>
      <c r="F320" s="232"/>
      <c r="G320" s="51"/>
    </row>
    <row r="321" spans="1:7" s="52" customFormat="1" ht="56.25" customHeight="1" x14ac:dyDescent="0.3">
      <c r="A321" s="53"/>
      <c r="B321" s="54"/>
      <c r="C321" s="153" t="str">
        <f t="shared" ref="C321:C325" si="27" xml:space="preserve"> IF(B321="","",setValueToTime(B321))</f>
        <v/>
      </c>
      <c r="D321" s="55"/>
      <c r="E321" s="231" t="s">
        <v>176</v>
      </c>
      <c r="F321" s="232"/>
      <c r="G321" s="51"/>
    </row>
    <row r="322" spans="1:7" s="52" customFormat="1" x14ac:dyDescent="0.3">
      <c r="A322" s="54"/>
      <c r="B322" s="54"/>
      <c r="C322" s="154" t="str">
        <f t="shared" si="27"/>
        <v/>
      </c>
      <c r="D322" s="55"/>
      <c r="E322" s="231"/>
      <c r="F322" s="232"/>
      <c r="G322" s="51"/>
    </row>
    <row r="323" spans="1:7" s="52" customFormat="1" x14ac:dyDescent="0.3">
      <c r="A323" s="54"/>
      <c r="B323" s="54"/>
      <c r="C323" s="154" t="str">
        <f t="shared" si="27"/>
        <v/>
      </c>
      <c r="D323" s="55"/>
      <c r="E323" s="231"/>
      <c r="F323" s="232"/>
      <c r="G323" s="51"/>
    </row>
    <row r="324" spans="1:7" s="52" customFormat="1" x14ac:dyDescent="0.3">
      <c r="A324" s="54"/>
      <c r="B324" s="54"/>
      <c r="C324" s="154" t="str">
        <f t="shared" si="27"/>
        <v/>
      </c>
      <c r="D324" s="55"/>
      <c r="E324" s="231"/>
      <c r="F324" s="232"/>
      <c r="G324" s="51"/>
    </row>
    <row r="325" spans="1:7" s="52" customFormat="1" ht="15" thickBot="1" x14ac:dyDescent="0.35">
      <c r="A325" s="56"/>
      <c r="B325" s="56"/>
      <c r="C325" s="155" t="str">
        <f t="shared" si="27"/>
        <v/>
      </c>
      <c r="D325" s="57"/>
      <c r="E325" s="233"/>
      <c r="F325" s="234"/>
      <c r="G325" s="51"/>
    </row>
    <row r="326" spans="1:7" s="52" customFormat="1" ht="15" thickBot="1" x14ac:dyDescent="0.35">
      <c r="A326" s="162" t="s">
        <v>26</v>
      </c>
      <c r="B326" s="83">
        <f>SUM(B318:B325)</f>
        <v>48</v>
      </c>
      <c r="C326" s="162" t="str">
        <f xml:space="preserve"> setValueToTime(B326)</f>
        <v>4h</v>
      </c>
      <c r="D326" s="121"/>
      <c r="E326" s="243"/>
      <c r="F326" s="244"/>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5" t="s">
        <v>11</v>
      </c>
      <c r="F329" s="246"/>
      <c r="G329" s="46"/>
    </row>
    <row r="330" spans="1:7" s="52" customFormat="1" ht="27" x14ac:dyDescent="0.3">
      <c r="A330" s="48" t="s">
        <v>29</v>
      </c>
      <c r="B330" s="49">
        <v>10</v>
      </c>
      <c r="C330" s="152" t="str">
        <f xml:space="preserve"> IF(B330="","",setValueToTime(B330))</f>
        <v>0h50min</v>
      </c>
      <c r="D330" s="50" t="s">
        <v>77</v>
      </c>
      <c r="E330" s="239"/>
      <c r="F330" s="240"/>
      <c r="G330" s="51"/>
    </row>
    <row r="331" spans="1:7" s="52" customFormat="1" ht="27" x14ac:dyDescent="0.3">
      <c r="A331" s="53" t="s">
        <v>29</v>
      </c>
      <c r="B331" s="54">
        <v>28</v>
      </c>
      <c r="C331" s="153" t="str">
        <f t="shared" ref="C331" si="28" xml:space="preserve"> IF(B331="","",setValueToTime(B331))</f>
        <v>2h20min</v>
      </c>
      <c r="D331" s="55" t="s">
        <v>90</v>
      </c>
      <c r="E331" s="242" t="s">
        <v>91</v>
      </c>
      <c r="F331" s="232"/>
      <c r="G331" s="51"/>
    </row>
    <row r="332" spans="1:7" s="52" customFormat="1" ht="43.5" customHeight="1" x14ac:dyDescent="0.3">
      <c r="A332" s="53"/>
      <c r="B332" s="54"/>
      <c r="C332" s="153" t="str">
        <f t="shared" ref="C332:C337" si="29" xml:space="preserve"> IF(B332="","",setValueToTime(B332))</f>
        <v/>
      </c>
      <c r="D332" s="55"/>
      <c r="E332" s="231" t="s">
        <v>175</v>
      </c>
      <c r="F332" s="232"/>
      <c r="G332" s="51"/>
    </row>
    <row r="333" spans="1:7" s="52" customFormat="1" x14ac:dyDescent="0.3">
      <c r="A333" s="53"/>
      <c r="B333" s="54"/>
      <c r="C333" s="153" t="str">
        <f t="shared" si="29"/>
        <v/>
      </c>
      <c r="D333" s="55"/>
      <c r="E333" s="231"/>
      <c r="F333" s="232"/>
      <c r="G333" s="51"/>
    </row>
    <row r="334" spans="1:7" s="52" customFormat="1" x14ac:dyDescent="0.3">
      <c r="A334" s="54"/>
      <c r="B334" s="54"/>
      <c r="C334" s="154" t="str">
        <f t="shared" si="29"/>
        <v/>
      </c>
      <c r="D334" s="55"/>
      <c r="E334" s="231"/>
      <c r="F334" s="232"/>
      <c r="G334" s="51"/>
    </row>
    <row r="335" spans="1:7" s="52" customFormat="1" x14ac:dyDescent="0.3">
      <c r="A335" s="54"/>
      <c r="B335" s="54"/>
      <c r="C335" s="154" t="str">
        <f t="shared" si="29"/>
        <v/>
      </c>
      <c r="D335" s="55"/>
      <c r="E335" s="231"/>
      <c r="F335" s="232"/>
      <c r="G335" s="51"/>
    </row>
    <row r="336" spans="1:7" s="52" customFormat="1" x14ac:dyDescent="0.3">
      <c r="A336" s="54"/>
      <c r="B336" s="54"/>
      <c r="C336" s="154" t="str">
        <f t="shared" si="29"/>
        <v/>
      </c>
      <c r="D336" s="55"/>
      <c r="E336" s="231"/>
      <c r="F336" s="232"/>
      <c r="G336" s="51"/>
    </row>
    <row r="337" spans="1:7" s="52" customFormat="1" ht="15" thickBot="1" x14ac:dyDescent="0.35">
      <c r="A337" s="56"/>
      <c r="B337" s="56"/>
      <c r="C337" s="155" t="str">
        <f t="shared" si="29"/>
        <v/>
      </c>
      <c r="D337" s="57"/>
      <c r="E337" s="233"/>
      <c r="F337" s="234"/>
      <c r="G337" s="51"/>
    </row>
    <row r="338" spans="1:7" s="52" customFormat="1" ht="15" thickBot="1" x14ac:dyDescent="0.35">
      <c r="A338" s="162" t="s">
        <v>26</v>
      </c>
      <c r="B338" s="83">
        <f>SUM(B330:B337)</f>
        <v>38</v>
      </c>
      <c r="C338" s="162" t="str">
        <f xml:space="preserve"> setValueToTime(B338)</f>
        <v>3h10min</v>
      </c>
      <c r="D338" s="121"/>
      <c r="E338" s="243"/>
      <c r="F338" s="244"/>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display="https://regex101.com/" xr:uid="{13C45F22-4D06-49B2-B099-4B918BC78268}"/>
  </hyperlinks>
  <printOptions horizontalCentered="1" verticalCentered="1"/>
  <pageMargins left="0.23622047244094491" right="0.23622047244094491" top="0.74803149606299213" bottom="0.74803149606299213" header="0.31496062992125984" footer="0.31496062992125984"/>
  <pageSetup paperSize="9" scale="81" fitToHeight="0" orientation="landscape" r:id="rId8"/>
  <headerFooter alignWithMargins="0">
    <oddHeader>&amp;L&amp;"ETML,Normal"&amp;14ETML&amp;R&amp;14&amp;USection Informatique</oddHeader>
    <oddFooter>&amp;L&amp;14&amp;D - David Assayah&amp;C&amp;14&amp;F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90"/>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9</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33</v>
      </c>
      <c r="F14" s="205"/>
      <c r="G14" s="205"/>
      <c r="H14" s="205"/>
      <c r="I14" s="104"/>
      <c r="J14" s="104"/>
      <c r="K14" s="206" t="s">
        <v>21</v>
      </c>
      <c r="L14" s="206"/>
      <c r="M14" s="206"/>
      <c r="N14" s="206"/>
      <c r="O14" s="129"/>
      <c r="P14" s="129"/>
      <c r="Q14" s="205" t="s">
        <v>34</v>
      </c>
      <c r="R14" s="205"/>
      <c r="S14" s="205"/>
      <c r="T14" s="205"/>
      <c r="U14" s="104"/>
      <c r="V14" s="104"/>
      <c r="W14" s="206" t="s">
        <v>22</v>
      </c>
      <c r="X14" s="206"/>
      <c r="Y14" s="206"/>
      <c r="Z14" s="206"/>
      <c r="AA14" s="129"/>
      <c r="AB14" s="129"/>
      <c r="AC14" s="205" t="s">
        <v>35</v>
      </c>
      <c r="AD14" s="205"/>
      <c r="AE14" s="205"/>
      <c r="AF14" s="205"/>
      <c r="AG14" s="104"/>
      <c r="AH14" s="104"/>
      <c r="AI14" s="206" t="s">
        <v>23</v>
      </c>
      <c r="AJ14" s="206"/>
      <c r="AK14" s="206"/>
      <c r="AL14" s="206"/>
      <c r="AM14" s="129"/>
      <c r="AN14" s="129"/>
      <c r="AO14" s="205" t="s">
        <v>36</v>
      </c>
      <c r="AP14" s="205"/>
      <c r="AQ14" s="205"/>
      <c r="AR14" s="205"/>
      <c r="AS14" s="104"/>
      <c r="AT14" s="104"/>
      <c r="AU14" s="206" t="s">
        <v>24</v>
      </c>
      <c r="AV14" s="206"/>
      <c r="AW14" s="206"/>
      <c r="AX14" s="206"/>
      <c r="AY14" s="129"/>
      <c r="AZ14" s="129"/>
      <c r="BA14" s="205" t="s">
        <v>37</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7" t="s">
        <v>11</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26</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5" t="s">
        <v>11</v>
      </c>
      <c r="F2" s="246"/>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26</v>
      </c>
      <c r="B11" s="83">
        <f>SUM(B3:B10)</f>
        <v>0</v>
      </c>
      <c r="C11" s="162" t="str">
        <f xml:space="preserve"> setValueToTime(B11)</f>
        <v>0h</v>
      </c>
      <c r="D11" s="121"/>
      <c r="E11" s="243"/>
      <c r="F11" s="24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2023-06-06T11:39:27Z</cp:lastPrinted>
  <dcterms:created xsi:type="dcterms:W3CDTF">1996-10-21T11:03:58Z</dcterms:created>
  <dcterms:modified xsi:type="dcterms:W3CDTF">2023-06-06T13:12:56Z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