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601" codeName="{AE6600E7-7A62-396C-DE95-9942FA9DD81E}"/>
  <workbookPr updateLinks="never" codeName="ThisWorkbook"/>
  <mc:AlternateContent xmlns:mc="http://schemas.openxmlformats.org/markup-compatibility/2006">
    <mc:Choice Requires="x15">
      <x15ac:absPath xmlns:x15ac="http://schemas.microsoft.com/office/spreadsheetml/2010/11/ac" url="C:\Users\davassayah\Desktop\TPI_David_Assayah_2023\doc\"/>
    </mc:Choice>
  </mc:AlternateContent>
  <xr:revisionPtr revIDLastSave="0" documentId="13_ncr:1_{D6D51A21-FC88-460E-8560-363279FE1EA4}" xr6:coauthVersionLast="47" xr6:coauthVersionMax="47" xr10:uidLastSave="{00000000-0000-0000-0000-000000000000}"/>
  <bookViews>
    <workbookView xWindow="-12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Journal!$A$1:$F$337</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0" l="1"/>
  <c r="B324" i="10"/>
  <c r="B19" i="1"/>
  <c r="B20" i="1"/>
  <c r="C283" i="10"/>
  <c r="B12" i="12"/>
  <c r="C11" i="12"/>
  <c r="C10" i="12"/>
  <c r="C9" i="12"/>
  <c r="C8" i="12"/>
  <c r="C7" i="12"/>
  <c r="C6" i="12"/>
  <c r="C5" i="12"/>
  <c r="C4" i="12"/>
  <c r="B24" i="12"/>
  <c r="C23" i="12"/>
  <c r="C22" i="12"/>
  <c r="C21" i="12"/>
  <c r="C20" i="12"/>
  <c r="C19" i="12"/>
  <c r="C18" i="12"/>
  <c r="C17" i="12"/>
  <c r="C16" i="12"/>
  <c r="B36" i="12"/>
  <c r="C35" i="12"/>
  <c r="C34" i="12"/>
  <c r="C33" i="12"/>
  <c r="C32" i="12"/>
  <c r="C31" i="12"/>
  <c r="C30" i="12"/>
  <c r="C29" i="12"/>
  <c r="C28" i="12"/>
  <c r="B48" i="12"/>
  <c r="C47" i="12"/>
  <c r="C46" i="12"/>
  <c r="C45" i="12"/>
  <c r="C44" i="12"/>
  <c r="C43" i="12"/>
  <c r="C42" i="12"/>
  <c r="C41" i="12"/>
  <c r="C40" i="12"/>
  <c r="B60" i="12"/>
  <c r="C59" i="12"/>
  <c r="C58" i="12"/>
  <c r="C57" i="12"/>
  <c r="C56" i="12"/>
  <c r="C55" i="12"/>
  <c r="C54" i="12"/>
  <c r="C53" i="12"/>
  <c r="C52" i="12"/>
  <c r="B72" i="12"/>
  <c r="C71" i="12"/>
  <c r="C70" i="12"/>
  <c r="C69" i="12"/>
  <c r="C68" i="12"/>
  <c r="C67" i="12"/>
  <c r="C66" i="12"/>
  <c r="C65" i="12"/>
  <c r="C64" i="12"/>
  <c r="B84" i="12"/>
  <c r="C83" i="12"/>
  <c r="C82" i="12"/>
  <c r="C81" i="12"/>
  <c r="C80" i="12"/>
  <c r="C79" i="12"/>
  <c r="C78" i="12"/>
  <c r="C77" i="12"/>
  <c r="C76" i="12"/>
  <c r="B96" i="12"/>
  <c r="C95" i="12"/>
  <c r="C94" i="12"/>
  <c r="C93" i="12"/>
  <c r="C92" i="12"/>
  <c r="C91" i="12"/>
  <c r="C90" i="12"/>
  <c r="C89" i="12"/>
  <c r="C88" i="12"/>
  <c r="B108" i="12"/>
  <c r="C107" i="12"/>
  <c r="C106" i="12"/>
  <c r="C105" i="12"/>
  <c r="C104" i="12"/>
  <c r="C103" i="12"/>
  <c r="C102" i="12"/>
  <c r="C101" i="12"/>
  <c r="C100" i="12"/>
  <c r="B120" i="12"/>
  <c r="C119" i="12"/>
  <c r="C118" i="12"/>
  <c r="C117" i="12"/>
  <c r="C116" i="12"/>
  <c r="C115" i="12"/>
  <c r="C114" i="12"/>
  <c r="C113" i="12"/>
  <c r="C112" i="12"/>
  <c r="B132" i="12"/>
  <c r="C131" i="12"/>
  <c r="C130" i="12"/>
  <c r="C129" i="12"/>
  <c r="C128" i="12"/>
  <c r="C127" i="12"/>
  <c r="C126" i="12"/>
  <c r="C125" i="12"/>
  <c r="C124" i="12"/>
  <c r="B144" i="12"/>
  <c r="C143" i="12"/>
  <c r="C142" i="12"/>
  <c r="C141" i="12"/>
  <c r="C140" i="12"/>
  <c r="C139" i="12"/>
  <c r="C138" i="12"/>
  <c r="C137" i="12"/>
  <c r="C136" i="12"/>
  <c r="B156" i="12"/>
  <c r="C155" i="12"/>
  <c r="C154" i="12"/>
  <c r="C153" i="12"/>
  <c r="B168" i="12"/>
  <c r="C167" i="12"/>
  <c r="C166" i="12"/>
  <c r="C165" i="12"/>
  <c r="B180" i="12"/>
  <c r="B192" i="12"/>
  <c r="B204" i="12"/>
  <c r="B216" i="12"/>
  <c r="C215" i="12"/>
  <c r="C214" i="12"/>
  <c r="C213" i="12"/>
  <c r="C212" i="12"/>
  <c r="B228" i="12"/>
  <c r="C227" i="12"/>
  <c r="B240" i="12"/>
  <c r="C239" i="12"/>
  <c r="C235" i="12"/>
  <c r="B252" i="12"/>
  <c r="C251" i="12"/>
  <c r="B264" i="12"/>
  <c r="C263" i="12"/>
  <c r="C262" i="12"/>
  <c r="C261" i="12"/>
  <c r="B276" i="12"/>
  <c r="C275" i="12"/>
  <c r="C274" i="12"/>
  <c r="C273" i="12"/>
  <c r="C272" i="12"/>
  <c r="B288" i="12"/>
  <c r="C287" i="12"/>
  <c r="C286" i="12"/>
  <c r="C285" i="12"/>
  <c r="C284" i="12"/>
  <c r="B300" i="12"/>
  <c r="C299" i="12"/>
  <c r="C298" i="12"/>
  <c r="C297" i="12"/>
  <c r="C296" i="12"/>
  <c r="B312" i="12"/>
  <c r="C311" i="12"/>
  <c r="C310" i="12"/>
  <c r="C309" i="12"/>
  <c r="C308" i="12"/>
  <c r="B324" i="12"/>
  <c r="C323" i="12"/>
  <c r="C322" i="12"/>
  <c r="C321" i="12"/>
  <c r="C320" i="12"/>
  <c r="C319" i="12"/>
  <c r="B336" i="12"/>
  <c r="C335" i="12"/>
  <c r="C334" i="12"/>
  <c r="C333" i="12"/>
  <c r="C332" i="12"/>
  <c r="C331" i="12"/>
  <c r="C330" i="12"/>
  <c r="C11" i="10"/>
  <c r="C10" i="10"/>
  <c r="C9" i="10"/>
  <c r="C8" i="10"/>
  <c r="C7" i="10"/>
  <c r="B24" i="10"/>
  <c r="C23" i="10"/>
  <c r="C22" i="10"/>
  <c r="C21" i="10"/>
  <c r="C20" i="10"/>
  <c r="B36" i="10"/>
  <c r="C35" i="10"/>
  <c r="C34" i="10"/>
  <c r="C33" i="10"/>
  <c r="C32" i="10"/>
  <c r="C328" i="12"/>
  <c r="C12" i="12"/>
  <c r="C24" i="12"/>
  <c r="C36" i="12"/>
  <c r="C48" i="12"/>
  <c r="C60" i="12"/>
  <c r="C72" i="12"/>
  <c r="C84" i="12"/>
  <c r="C96" i="12"/>
  <c r="C108" i="12"/>
  <c r="C120" i="12"/>
  <c r="C132" i="12"/>
  <c r="C144" i="12"/>
  <c r="C328" i="10"/>
  <c r="C330" i="10"/>
  <c r="C331" i="10"/>
  <c r="C332" i="10"/>
  <c r="C333" i="10"/>
  <c r="C334" i="10"/>
  <c r="C335" i="10"/>
  <c r="B336" i="10"/>
  <c r="B48" i="10"/>
  <c r="C47" i="10"/>
  <c r="C46" i="10"/>
  <c r="C45" i="10"/>
  <c r="C44" i="10"/>
  <c r="B60" i="10"/>
  <c r="C59" i="10"/>
  <c r="C58" i="10"/>
  <c r="C57" i="10"/>
  <c r="C56" i="10"/>
  <c r="C55" i="10"/>
  <c r="B72" i="10"/>
  <c r="C71" i="10"/>
  <c r="C70" i="10"/>
  <c r="C69" i="10"/>
  <c r="C68" i="10"/>
  <c r="B84" i="10"/>
  <c r="C83" i="10"/>
  <c r="C82" i="10"/>
  <c r="C81" i="10"/>
  <c r="C80" i="10"/>
  <c r="C79" i="10"/>
  <c r="B96" i="10"/>
  <c r="C95" i="10"/>
  <c r="C94" i="10"/>
  <c r="C93" i="10"/>
  <c r="C92" i="10"/>
  <c r="B108" i="10"/>
  <c r="C107" i="10"/>
  <c r="C106" i="10"/>
  <c r="C105" i="10"/>
  <c r="B120" i="10"/>
  <c r="C119" i="10"/>
  <c r="C118" i="10"/>
  <c r="B132" i="10"/>
  <c r="C131" i="10"/>
  <c r="C130" i="10"/>
  <c r="C129" i="10"/>
  <c r="C128" i="10"/>
  <c r="C127" i="10"/>
  <c r="B144" i="10"/>
  <c r="C143" i="10"/>
  <c r="C142" i="10"/>
  <c r="C141" i="10"/>
  <c r="C140" i="10"/>
  <c r="B156" i="10"/>
  <c r="C155" i="10"/>
  <c r="C154" i="10"/>
  <c r="C153" i="10"/>
  <c r="C152" i="10"/>
  <c r="B168" i="10"/>
  <c r="C167" i="10"/>
  <c r="C166" i="10"/>
  <c r="C165" i="10"/>
  <c r="C164" i="10"/>
  <c r="B180" i="10"/>
  <c r="C179" i="10"/>
  <c r="C178" i="10"/>
  <c r="B192" i="10"/>
  <c r="C191" i="10"/>
  <c r="C190" i="10"/>
  <c r="B204" i="10"/>
  <c r="C203" i="10"/>
  <c r="C202" i="10"/>
  <c r="B216" i="10"/>
  <c r="C215" i="10"/>
  <c r="C214" i="10"/>
  <c r="C213" i="10"/>
  <c r="B228" i="10"/>
  <c r="B240" i="10"/>
  <c r="C239" i="10"/>
  <c r="C238" i="10"/>
  <c r="C237" i="10"/>
  <c r="C236" i="10"/>
  <c r="B252" i="10"/>
  <c r="C251" i="10"/>
  <c r="C250" i="10"/>
  <c r="C249" i="10"/>
  <c r="B264" i="10"/>
  <c r="C263" i="10"/>
  <c r="C262" i="10"/>
  <c r="C261" i="10"/>
  <c r="B276" i="10"/>
  <c r="C275" i="10"/>
  <c r="C274" i="10"/>
  <c r="C273" i="10"/>
  <c r="B288" i="10"/>
  <c r="C287" i="10"/>
  <c r="C286" i="10"/>
  <c r="C285" i="10"/>
  <c r="C284" i="10"/>
  <c r="B300" i="10"/>
  <c r="C299" i="10"/>
  <c r="C298" i="10"/>
  <c r="C297" i="10"/>
  <c r="C296" i="10"/>
  <c r="C295" i="10"/>
  <c r="B312" i="10"/>
  <c r="C311" i="10"/>
  <c r="C310" i="10"/>
  <c r="C309" i="10"/>
  <c r="C308" i="10"/>
  <c r="C307" i="10"/>
  <c r="C323" i="10"/>
  <c r="C322" i="10"/>
  <c r="C321" i="10"/>
  <c r="C320" i="10"/>
  <c r="C319" i="10"/>
  <c r="C10" i="15"/>
  <c r="C9" i="15"/>
  <c r="C8" i="15"/>
  <c r="C7" i="15"/>
  <c r="C6" i="15"/>
  <c r="C5" i="15"/>
  <c r="C4" i="15"/>
  <c r="C3" i="15"/>
  <c r="B11" i="15"/>
  <c r="C10" i="16"/>
  <c r="C9" i="16"/>
  <c r="C8" i="16"/>
  <c r="C7" i="16"/>
  <c r="C6" i="16"/>
  <c r="C5" i="16"/>
  <c r="C4" i="16"/>
  <c r="C3" i="16"/>
  <c r="B11" i="16"/>
  <c r="C11" i="15"/>
  <c r="C11" i="16"/>
  <c r="C6" i="10"/>
  <c r="C5" i="10"/>
  <c r="C18" i="10"/>
  <c r="C17" i="10"/>
  <c r="C30" i="10"/>
  <c r="C29" i="10"/>
  <c r="C42" i="10"/>
  <c r="C41" i="10"/>
  <c r="C54" i="10"/>
  <c r="C53" i="10"/>
  <c r="C66" i="10"/>
  <c r="C65" i="10"/>
  <c r="C78" i="10"/>
  <c r="C77" i="10"/>
  <c r="C90" i="10"/>
  <c r="C89" i="10"/>
  <c r="C102" i="10"/>
  <c r="C101" i="10"/>
  <c r="C114" i="10"/>
  <c r="C126" i="10"/>
  <c r="C125" i="10"/>
  <c r="C138" i="10"/>
  <c r="C137" i="10"/>
  <c r="C150" i="10"/>
  <c r="C149" i="10"/>
  <c r="C162" i="10"/>
  <c r="C161" i="10"/>
  <c r="C174" i="10"/>
  <c r="C173" i="10"/>
  <c r="C186" i="10"/>
  <c r="C185" i="10"/>
  <c r="C198" i="10"/>
  <c r="C197" i="10"/>
  <c r="C210" i="10"/>
  <c r="C234" i="10"/>
  <c r="C246" i="10"/>
  <c r="C258" i="10"/>
  <c r="C270" i="10"/>
  <c r="C282" i="10"/>
  <c r="C294" i="10"/>
  <c r="C222" i="10"/>
  <c r="C209" i="10"/>
  <c r="C221" i="10"/>
  <c r="C233" i="10"/>
  <c r="C245" i="10"/>
  <c r="C257" i="10"/>
  <c r="C269" i="10"/>
  <c r="C293" i="10"/>
  <c r="C304" i="10"/>
  <c r="C281" i="10"/>
  <c r="C316" i="12"/>
  <c r="C324" i="12"/>
  <c r="C317" i="12"/>
  <c r="C318" i="12"/>
  <c r="C336" i="12"/>
  <c r="C329" i="12"/>
  <c r="C268" i="10"/>
  <c r="C288" i="10"/>
  <c r="C280" i="10"/>
  <c r="C300" i="10"/>
  <c r="C292" i="10"/>
  <c r="C305" i="10"/>
  <c r="C306" i="10"/>
  <c r="C312" i="10"/>
  <c r="C318" i="10"/>
  <c r="D19" i="1"/>
  <c r="D20" i="1"/>
  <c r="D80" i="1"/>
  <c r="D48" i="1"/>
  <c r="D93" i="1"/>
  <c r="D61" i="1"/>
  <c r="D29" i="1"/>
  <c r="D78" i="1"/>
  <c r="D46" i="1"/>
  <c r="D91" i="1"/>
  <c r="D59" i="1"/>
  <c r="D27" i="1"/>
  <c r="D74" i="1"/>
  <c r="D55" i="1"/>
  <c r="D76" i="1"/>
  <c r="D44" i="1"/>
  <c r="D89" i="1"/>
  <c r="D57" i="1"/>
  <c r="D25" i="1"/>
  <c r="D42" i="1"/>
  <c r="D87" i="1"/>
  <c r="D23" i="1"/>
  <c r="D56" i="1"/>
  <c r="D72" i="1"/>
  <c r="D40" i="1"/>
  <c r="D85" i="1"/>
  <c r="D53" i="1"/>
  <c r="D21" i="1"/>
  <c r="D39" i="1"/>
  <c r="D70" i="1"/>
  <c r="D38" i="1"/>
  <c r="D83" i="1"/>
  <c r="D51" i="1"/>
  <c r="D17" i="1"/>
  <c r="D26" i="1"/>
  <c r="D82" i="1"/>
  <c r="D68" i="1"/>
  <c r="D36" i="1"/>
  <c r="D81" i="1"/>
  <c r="D49" i="1"/>
  <c r="D15" i="1"/>
  <c r="D71" i="1"/>
  <c r="D88" i="1"/>
  <c r="D31" i="1"/>
  <c r="D66" i="1"/>
  <c r="D34" i="1"/>
  <c r="D79" i="1"/>
  <c r="D47" i="1"/>
  <c r="D37" i="1"/>
  <c r="D63" i="1"/>
  <c r="D64" i="1"/>
  <c r="D32" i="1"/>
  <c r="D77" i="1"/>
  <c r="D45" i="1"/>
  <c r="D58" i="1"/>
  <c r="D50" i="1"/>
  <c r="D94" i="1"/>
  <c r="D62" i="1"/>
  <c r="D30" i="1"/>
  <c r="D75" i="1"/>
  <c r="D43" i="1"/>
  <c r="D90" i="1"/>
  <c r="D24" i="1"/>
  <c r="D92" i="1"/>
  <c r="D60" i="1"/>
  <c r="D28" i="1"/>
  <c r="D73" i="1"/>
  <c r="D41" i="1"/>
  <c r="D69" i="1"/>
  <c r="D86" i="1"/>
  <c r="D54" i="1"/>
  <c r="D22" i="1"/>
  <c r="D67" i="1"/>
  <c r="D35" i="1"/>
  <c r="D84" i="1"/>
  <c r="D52" i="1"/>
  <c r="D18" i="1"/>
  <c r="D65" i="1"/>
  <c r="D33" i="1"/>
  <c r="D16" i="1"/>
  <c r="C4" i="10"/>
  <c r="C12" i="10"/>
  <c r="C19" i="10"/>
  <c r="C16" i="10"/>
  <c r="C24" i="10"/>
  <c r="C28" i="10"/>
  <c r="C31" i="10"/>
  <c r="C36" i="10"/>
  <c r="C40" i="10"/>
  <c r="C113" i="10"/>
  <c r="C43" i="10"/>
  <c r="C48" i="10"/>
  <c r="C60" i="10"/>
  <c r="C52" i="10"/>
  <c r="C67" i="10"/>
  <c r="C64" i="10"/>
  <c r="C72" i="10"/>
  <c r="C84" i="10"/>
  <c r="C76" i="10"/>
  <c r="C91" i="10"/>
  <c r="C96" i="10"/>
  <c r="C88" i="10"/>
  <c r="C104" i="10"/>
  <c r="C103" i="10"/>
  <c r="C108" i="10"/>
  <c r="C100" i="10"/>
  <c r="C117" i="10"/>
  <c r="C116" i="10"/>
  <c r="C115" i="10"/>
  <c r="C120" i="10"/>
  <c r="C112" i="10"/>
  <c r="C132" i="10"/>
  <c r="C124" i="10"/>
  <c r="C139" i="10"/>
  <c r="C136" i="10"/>
  <c r="C144" i="10"/>
  <c r="C163" i="10"/>
  <c r="C151" i="10"/>
  <c r="C148" i="10"/>
  <c r="C156" i="10"/>
  <c r="C160" i="10"/>
  <c r="C168" i="10"/>
  <c r="C177" i="10"/>
  <c r="C176" i="10"/>
  <c r="C227" i="10"/>
  <c r="C189" i="10"/>
  <c r="C232" i="10"/>
  <c r="C175" i="10"/>
  <c r="C172" i="10"/>
  <c r="C180" i="10"/>
  <c r="C188" i="10"/>
  <c r="C187" i="10"/>
  <c r="C192" i="10"/>
  <c r="C184" i="10"/>
  <c r="C201" i="10"/>
  <c r="C200" i="10"/>
  <c r="C212" i="10"/>
  <c r="C199" i="10"/>
  <c r="C196" i="10"/>
  <c r="C204" i="10"/>
  <c r="C226" i="10"/>
  <c r="C225" i="10"/>
  <c r="C224" i="10"/>
  <c r="C208" i="10"/>
  <c r="C211" i="10"/>
  <c r="C216" i="10"/>
  <c r="C223" i="10"/>
  <c r="C228" i="10"/>
  <c r="C220" i="10"/>
  <c r="C235" i="10"/>
  <c r="C240" i="10"/>
  <c r="C248" i="10"/>
  <c r="C247" i="10"/>
  <c r="C252" i="10"/>
  <c r="C244" i="10"/>
  <c r="C317" i="10"/>
  <c r="C324" i="10"/>
  <c r="C316" i="10"/>
  <c r="C260" i="10"/>
  <c r="C259" i="10"/>
  <c r="C256" i="10"/>
  <c r="C264" i="10"/>
  <c r="C336" i="10"/>
  <c r="C329" i="10"/>
  <c r="C272" i="10"/>
  <c r="C276" i="10"/>
  <c r="C271" i="10"/>
  <c r="C307" i="12"/>
  <c r="C306" i="12"/>
  <c r="C305" i="12"/>
  <c r="C312" i="12"/>
  <c r="C304" i="12"/>
  <c r="C295" i="12"/>
  <c r="C294" i="12"/>
  <c r="C293" i="12"/>
  <c r="C300" i="12"/>
  <c r="C292" i="12"/>
  <c r="C281" i="12"/>
  <c r="C280" i="12"/>
  <c r="C283" i="12"/>
  <c r="C288" i="12"/>
  <c r="C282" i="12"/>
  <c r="C270" i="12"/>
  <c r="C271" i="12"/>
  <c r="C269" i="12"/>
  <c r="C268" i="12"/>
  <c r="C276" i="12"/>
  <c r="C260" i="12"/>
  <c r="C256" i="12"/>
  <c r="C259" i="12"/>
  <c r="C258" i="12"/>
  <c r="C257" i="12"/>
  <c r="C264" i="12"/>
  <c r="C248" i="12"/>
  <c r="C244" i="12"/>
  <c r="C247" i="12"/>
  <c r="C245" i="12"/>
  <c r="C246" i="12"/>
  <c r="C249" i="12"/>
  <c r="C250" i="12"/>
  <c r="C252" i="12"/>
  <c r="C232" i="12"/>
  <c r="C234" i="12"/>
  <c r="C233" i="12"/>
  <c r="C238" i="12"/>
  <c r="C237" i="12"/>
  <c r="C240" i="12"/>
  <c r="C236" i="12"/>
  <c r="C220" i="12"/>
  <c r="C226" i="12"/>
  <c r="C225" i="12"/>
  <c r="C221" i="12"/>
  <c r="C224" i="12"/>
  <c r="C223" i="12"/>
  <c r="C222" i="12"/>
  <c r="C228" i="12"/>
  <c r="C211" i="12"/>
  <c r="C210" i="12"/>
  <c r="C209" i="12"/>
  <c r="C216" i="12"/>
  <c r="C208" i="12"/>
  <c r="C196" i="12"/>
  <c r="C199" i="12"/>
  <c r="C198" i="12"/>
  <c r="C200" i="12"/>
  <c r="C197" i="12"/>
  <c r="C203" i="12"/>
  <c r="C202" i="12"/>
  <c r="C204" i="12"/>
  <c r="C201" i="12"/>
  <c r="C184" i="12"/>
  <c r="C185" i="12"/>
  <c r="C187" i="12"/>
  <c r="C186" i="12"/>
  <c r="C188" i="12"/>
  <c r="C191" i="12"/>
  <c r="C190" i="12"/>
  <c r="C189" i="12"/>
  <c r="C192" i="12"/>
  <c r="C172" i="12"/>
  <c r="C173" i="12"/>
  <c r="C174" i="12"/>
  <c r="C176" i="12"/>
  <c r="C175" i="12"/>
  <c r="C177" i="12"/>
  <c r="C178" i="12"/>
  <c r="C179" i="12"/>
  <c r="C180" i="12"/>
  <c r="C163" i="12"/>
  <c r="C164" i="12"/>
  <c r="C162" i="12"/>
  <c r="C161" i="12"/>
  <c r="C160" i="12"/>
  <c r="C168" i="12"/>
  <c r="C149" i="12"/>
  <c r="C148" i="12"/>
  <c r="C151" i="12"/>
  <c r="C150" i="12"/>
  <c r="C156" i="12"/>
  <c r="C152" i="12"/>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21" i="1"/>
  <c r="B22" i="1"/>
  <c r="B23" i="1"/>
  <c r="B24" i="1"/>
  <c r="B25" i="1"/>
  <c r="B26" i="1"/>
  <c r="B27" i="1"/>
  <c r="B28" i="1"/>
  <c r="B29" i="1"/>
  <c r="B15" i="1" l="1"/>
</calcChain>
</file>

<file path=xl/sharedStrings.xml><?xml version="1.0" encoding="utf-8"?>
<sst xmlns="http://schemas.openxmlformats.org/spreadsheetml/2006/main" count="1386" uniqueCount="265">
  <si>
    <t>Dates :</t>
  </si>
  <si>
    <t xml:space="preserve">Absences - imprévus </t>
  </si>
  <si>
    <t>Tâche</t>
  </si>
  <si>
    <t>Tâches - objectifs</t>
  </si>
  <si>
    <t>Séquence 1</t>
  </si>
  <si>
    <t>Total planifié</t>
  </si>
  <si>
    <t>Total réalisé</t>
  </si>
  <si>
    <t>ETML</t>
  </si>
  <si>
    <t>NNN - Compétence du module</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</si>
  <si>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</si>
  <si>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</si>
  <si>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</si>
  <si>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</si>
  <si>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</si>
  <si>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</si>
  <si>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</si>
  <si>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</si>
  <si>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</si>
  <si>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</si>
  <si>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</si>
  <si>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</si>
  <si>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</si>
  <si>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</si>
  <si>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</si>
  <si>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</si>
  <si>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</si>
  <si>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</si>
  <si>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</si>
  <si>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</si>
  <si>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</si>
  <si>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Réalisation - Interfaces</t>
  </si>
  <si>
    <t>Total heures planifiées</t>
  </si>
  <si>
    <t>Total heures réalisées</t>
  </si>
  <si>
    <t>0h30</t>
  </si>
  <si>
    <t>1h30</t>
  </si>
  <si>
    <t>2h30</t>
  </si>
  <si>
    <t>3h30</t>
  </si>
  <si>
    <t>4h30</t>
  </si>
  <si>
    <t>Tranche 5min</t>
  </si>
  <si>
    <t>Tranche
[5min]</t>
  </si>
  <si>
    <t>Séquence 16</t>
  </si>
  <si>
    <t>jeudi, 11 mai 2023</t>
  </si>
  <si>
    <t>Séquence 15</t>
  </si>
  <si>
    <t>Séquence 14</t>
  </si>
  <si>
    <t>Séquence 13</t>
  </si>
  <si>
    <t>Séquence 12</t>
  </si>
  <si>
    <t>Séquence 11</t>
  </si>
  <si>
    <t>Séquence 10</t>
  </si>
  <si>
    <t>Séquence 9</t>
  </si>
  <si>
    <t>Séquence 8</t>
  </si>
  <si>
    <t>Séquence 7</t>
  </si>
  <si>
    <t>Séquence 6</t>
  </si>
  <si>
    <t>Séquence 5</t>
  </si>
  <si>
    <t>Séquence 4</t>
  </si>
  <si>
    <t>Module : TPI</t>
  </si>
  <si>
    <t>Prénom - nom : David Assayah</t>
  </si>
  <si>
    <t>Classe : FIN2</t>
  </si>
  <si>
    <t>Lieu : ETML VENNES</t>
  </si>
  <si>
    <t>M.Charmier</t>
  </si>
  <si>
    <t>Du 16.05.2023 au 6.06.2023</t>
  </si>
  <si>
    <t>Matin</t>
  </si>
  <si>
    <t>Après-midi</t>
  </si>
  <si>
    <t>vendredi, 12 mai 2023</t>
  </si>
  <si>
    <t>lundi, 15 mai 2023</t>
  </si>
  <si>
    <t>mardi, 16 mai 2023</t>
  </si>
  <si>
    <t>mercredi, 17 mai 2023</t>
  </si>
  <si>
    <t>lundi, 22 mai 2023</t>
  </si>
  <si>
    <t>mardi, 23 mai 2023</t>
  </si>
  <si>
    <t>mercredi, 24 mai 2023</t>
  </si>
  <si>
    <t>jeudi, 25 mai 2023</t>
  </si>
  <si>
    <t>vendredi, 26 mai 2023</t>
  </si>
  <si>
    <t>mardi, 30 mai 2023</t>
  </si>
  <si>
    <t>mercredi, 31 mai 2023</t>
  </si>
  <si>
    <t>jeudi, 1 juin 2023</t>
  </si>
  <si>
    <t>vendredi, 2 juin 2023</t>
  </si>
  <si>
    <t>lundi, 5 juin 2023</t>
  </si>
  <si>
    <t>mardi, 6 juin 2023</t>
  </si>
  <si>
    <t>Séance avec M.Venries et M.Charmier pour discuter du cahier des charges et signature</t>
  </si>
  <si>
    <t>Séquence 28</t>
  </si>
  <si>
    <t>Séquence 27</t>
  </si>
  <si>
    <t>Séquence 26</t>
  </si>
  <si>
    <t>Séquence 25</t>
  </si>
  <si>
    <t>Séquence 24</t>
  </si>
  <si>
    <t>Séquence 23</t>
  </si>
  <si>
    <t>Séquence 22</t>
  </si>
  <si>
    <t>Séquence 21</t>
  </si>
  <si>
    <t>Séquence 20</t>
  </si>
  <si>
    <t>Séquence 19</t>
  </si>
  <si>
    <t>Séquence 18</t>
  </si>
  <si>
    <t>Séquence 17</t>
  </si>
  <si>
    <t>Planification initiale du TPI et mise en place de l'environnement github</t>
  </si>
  <si>
    <t>https://github.com/davassayah/TPI_David_Assayah_2023</t>
  </si>
  <si>
    <t>Relecture et envoi de la planification initiale</t>
  </si>
  <si>
    <t>Conception - Maquettes</t>
  </si>
  <si>
    <t>Conception - Base de données</t>
  </si>
  <si>
    <t>Rédaction du journal de travail</t>
  </si>
  <si>
    <t>Rédaction du rapport</t>
  </si>
  <si>
    <t>Conception - Stratégie de tests</t>
  </si>
  <si>
    <t>Conceptualisation de différents tests manuels permettant d'évaluer le bon fonctionnement des fonctionnalités à produire</t>
  </si>
  <si>
    <t>Rédaction du rapport : mise en place définitive de la structure et remplissage de toutes les catégories possibles</t>
  </si>
  <si>
    <t/>
  </si>
  <si>
    <t>Création frontend du header contenant les onglets de navigation pour le site et l'authentification</t>
  </si>
  <si>
    <t>Création frontend du footer contenant les informations de contact</t>
  </si>
  <si>
    <t>Création frontend de la page utilisateur : affichage de toutes les informations et cartes mises en ventes par l'utilisateur</t>
  </si>
  <si>
    <t xml:space="preserve">Conception de la base de données via DB MAIN selon la méthode Merise. Conceptualisation du MCD et du MLD de la base de données du site. </t>
  </si>
  <si>
    <t>Création frontend de la page admin : création d'utilisateur via une interface et affichage de tous les utilisateurs du site</t>
  </si>
  <si>
    <t>Séance avec M.Venries et M.Charmier pour discuter du cahier des charges et signature de celui-ci</t>
  </si>
  <si>
    <t>Création frontend de la page d'accueil du site : Affichage variable de la page et des options selon le type d'utilisateur connecté. Ex : affichage des cartes disponibles sur le site si l'utilisateur est connecté.</t>
  </si>
  <si>
    <t>Conception des maquettes du site web : Page d'accueil, page utilisateur, page admin, page d'information pour une carte, page d'ajout d'une carte, page de transaction pour les cartes via mockflow</t>
  </si>
  <si>
    <t xml:space="preserve">Création frontend de la page donnant des informations sur une carte </t>
  </si>
  <si>
    <t>Création frontend de la page d'ajout d'une carte</t>
  </si>
  <si>
    <t>Création frontend de la page de modification d'une carte</t>
  </si>
  <si>
    <t>Réalisation - Frontend</t>
  </si>
  <si>
    <t>Réalisation - Base de données</t>
  </si>
  <si>
    <t xml:space="preserve">Création frontend de la page de transaction pour une carte </t>
  </si>
  <si>
    <t>Création de la base de donnée selon le modèle de conception et implémentation dans PHPmyAdmin</t>
  </si>
  <si>
    <t>Réalisation - Validation des champs</t>
  </si>
  <si>
    <t>Réalisation - Requêtes SQL</t>
  </si>
  <si>
    <t>Création d'un tableau d'erreurs dans un fichier PHP permettant de gérer la validation des champs et l'affichage des erreurs contextuelles</t>
  </si>
  <si>
    <t>Création des différentes conditions d'erreurs contextuelles des champs pour les différents formulaires et création de Regex si nécessaire</t>
  </si>
  <si>
    <t>Création d'une requête permettant d'afficher toutes les cartes en vente sur le site</t>
  </si>
  <si>
    <t>Création d'une requête SQL permettant d'afficher les détails pour une carte en particulier</t>
  </si>
  <si>
    <t>Création d'une requête SQL permettant de supprimer une carte</t>
  </si>
  <si>
    <t>Création d'une requête SQL permettant de modifier une carte</t>
  </si>
  <si>
    <t>Réalisation - Authentification</t>
  </si>
  <si>
    <t xml:space="preserve">Implémentation du code permettant à un utilisateur de s'authentifier correctement à son compte en comparant si les informations rentrées dans le champs du login correspondent aux valeurs contenues dans la base de données </t>
  </si>
  <si>
    <t>Création d'une requête SQL permettant l'authentification d'un utilisateur de façon sécurisée</t>
  </si>
  <si>
    <t>Implémentation du code permettant l'affichage conditionnelle des différents contenus du site en fonction du type d'utilisateur</t>
  </si>
  <si>
    <t>Implémentation du code permettant de rediriger l'utilisateur vers la page d'accueil de façon sécurisée lorsqu'il tente d'accéder à une page pour laquelle il n'a pas les droits via l'erreur 403</t>
  </si>
  <si>
    <t>Réalisation - Tests</t>
  </si>
  <si>
    <t>Réalisation de tests pour véfirifer que les informations entrées dans les formulaires s'ajoutent bien en base de données dans le cas où toutes les conditions de validations sont respectées</t>
  </si>
  <si>
    <t>Réalisation de tests via différents scénarios pour vérifier que les bonnes erreurs contextuelles apparaissent dans le cas où les informations données par l'utilisateur ne respectent pas les conditions de validation</t>
  </si>
  <si>
    <t>Correction ou adaptation du code selon les résultats des tests effectués</t>
  </si>
  <si>
    <t>Séance avec M.Bertino afin d'évaluer l'avancement du TPI</t>
  </si>
  <si>
    <t>Création d'un fichier database.php permettant de rassembler toutes les requêtes SQL et de connecter le site à la base de données via le fichier config.php</t>
  </si>
  <si>
    <t>Réalisation - Transfert de l'image</t>
  </si>
  <si>
    <t>Implémentation du code permettant la récupération et le transfert de l'image</t>
  </si>
  <si>
    <t>Réalisation d'une requête SQL permettant d'afficher toutes les collections à laquelle une carte peut appartenir</t>
  </si>
  <si>
    <t>Création d'une rquête SQL permettant d'afficher les informations d'un utilisateur en particulier</t>
  </si>
  <si>
    <t xml:space="preserve">Doc - Mesures de sécurité </t>
  </si>
  <si>
    <t>Ajout dans le rapport des mesures de sécurité mises en place pour le site et justification de celles-ci</t>
  </si>
  <si>
    <t>Réalisation frontend des filtres/du tri des cartes disponibles sur le site sur la page d'accueil</t>
  </si>
  <si>
    <t>Réalisation - Filtres</t>
  </si>
  <si>
    <t>Réalisation - Système de mise en attente des points de crédits</t>
  </si>
  <si>
    <t>Implémentation du code permettant la mise en attente des points de crédits lorsqu'un utilisateur achète une carte. La validation de reception entraîne une mise à jour du nombre de crédits de l'acheteur et du vendeur. En comparant le total de crédits des utilisateurs à la valeur en crédits de la carte en se basant sur son ID.</t>
  </si>
  <si>
    <t>Création d'une requête SQL permettant l'application de tous les filtres</t>
  </si>
  <si>
    <t>Implémentation du code permettant l'utilisation des filtres</t>
  </si>
  <si>
    <t>Réalisation de tests pour vérifier l'efficacité des filtres et la bonne modification de la valeur en crédits des utilisateurs en base de données après achat et bonne réception d'une carte</t>
  </si>
  <si>
    <t>Correction et adaptation du code en fonction des résultats constatés lors des tests</t>
  </si>
  <si>
    <t>Doc - Manuel d'installation</t>
  </si>
  <si>
    <t>Réalisation du manuel d'installation du site web</t>
  </si>
  <si>
    <t>Test du manuel d'installation par un collègue ou un enseignant disponible</t>
  </si>
  <si>
    <t>Correction</t>
  </si>
  <si>
    <t>Correction ou adaption du projet en fonction des retours de M.Bertino</t>
  </si>
  <si>
    <t>Correction ou adaptation du manuel d'installation en fonction des résultats du test</t>
  </si>
  <si>
    <t>Rédaction du résumé du rapport du TPI</t>
  </si>
  <si>
    <t>Optimisation</t>
  </si>
  <si>
    <t>Ajout d'un pattern Singleton</t>
  </si>
  <si>
    <t>Ajout d'un fichier secrets.json contenant toutes les informations sensibles du site web ignoré par git</t>
  </si>
  <si>
    <t>Factorisation des formulaires similaires en les réunissant dans un seul fichier et en utilisant un include si possible</t>
  </si>
  <si>
    <t>Factorisation des méthodes et du code redondant lorsque cela est possible</t>
  </si>
  <si>
    <t>Ajout d'un fichier config.php permettant la connexion à la base de données et contenant toutes les informations non sensibles dans ce but</t>
  </si>
  <si>
    <t>Optimisation de la partie frontend pour améliorer autant que possible l'aspect visuel du site</t>
  </si>
  <si>
    <t>Finalisation du rapport</t>
  </si>
  <si>
    <t>Correction ou modification du projet selon les résultats constatés lors des tests</t>
  </si>
  <si>
    <t>Réalisation de tests sur toutes les fonctionnalités du site et de la sécurité après optimisation selon différents scénarios</t>
  </si>
  <si>
    <t>Relecture du rapport</t>
  </si>
  <si>
    <t>Relecture du journal de travail</t>
  </si>
  <si>
    <t>Finalisation du journal de travail</t>
  </si>
  <si>
    <t>Comparaison entre la planification initiale et le déroulement du projet</t>
  </si>
  <si>
    <t>Optimisation de la mise en page du rapport</t>
  </si>
  <si>
    <t>Impression du rapport</t>
  </si>
  <si>
    <t>Compte rendu experts</t>
  </si>
  <si>
    <t>Envoi de la planification initiale</t>
  </si>
  <si>
    <t>89h</t>
  </si>
  <si>
    <t>7h10min</t>
  </si>
  <si>
    <t>- 81h50min</t>
  </si>
  <si>
    <t>Bilan de la séquence : la planification a globalement bien avancé même si le délai semble arriver rapidement.</t>
  </si>
  <si>
    <t>Bilan de la séquence : la planification initiale a été terminée juste à temps. Il a fallu prendre en compte les pauses de 5 minutes entre les cours pour arriver aux 89 heures.</t>
  </si>
  <si>
    <t>Conception des maquettes du site web : Page d'accueil, page utilisateur, page de création d'un utilisateur, page d'information pour une carte, page de modification pour une carte, page d'ajout d'une carte, page de transaction pour les cartes, footer et header via mockflow</t>
  </si>
  <si>
    <t>https://www.mockflow.com/</t>
  </si>
  <si>
    <t>Aide</t>
  </si>
  <si>
    <t>Demande de conseils à M.Charmier concernant les explications à donner à propos des maquettes</t>
  </si>
  <si>
    <t>Bilan de la séqence : les concepts des maquettes ont tous pu être terminé dans les délais mais la rédaction du rapport prend plus de temps que prévu. Le temps accordé à la rédaction du rapport à la fin de chaque séquence n'est peut-être pas suffisant. Il reste à éclaircir le rôle de l'administrateur au sein de l'application avec M.Charmier.</t>
  </si>
  <si>
    <t>Discussion avec M.Charmier à propos du rôle de l'administrateur au sein du site</t>
  </si>
  <si>
    <t>Conclusion de la discussion : On part du principe que l'administrateur est bienveillant et ne commettra pas d'actes répréhensibles pour le bon fonctionnement de son propre site web.</t>
  </si>
  <si>
    <t>Rédaction du rapport : Structure de base et analyse des maquettes</t>
  </si>
  <si>
    <t>Rédaction du rapport : Analyse des maquettes</t>
  </si>
  <si>
    <t>Utilisation de DB Main pour réaliser la conception de la base de données. Création des tables t_user, t_card, t_order, t_cardOrder</t>
  </si>
  <si>
    <t>Bilan de la séquence : La rédaction de l'analyse des maquettes dans le rapport a pris plus de temps que prévu. La conception de la base de données a été par conséquent retardée. Difficulté à bien analyser le mécanisme de transaction. Première idée -&gt; création d'une table t_cardOrder pour lier l'ID de la commande et l'ID de l'utilisateur.</t>
  </si>
  <si>
    <t xml:space="preserve">Rédaction du journal de travail </t>
  </si>
  <si>
    <t>Réflexion sur la modélisation de la transaction mise en attente par rapport à l'ID de la commande</t>
  </si>
  <si>
    <t>Bilan de la séquence : Le système de transaction en DB pose toujours des difficultés . La structure de base du MCD est presque terminée mais la finalisation est repoussée à la prochaine séquence pour ne pas perdre trop de temps. La stratégie de test a été mise en place en fonction des objectifs techniques spécifiques au TPI.</t>
  </si>
  <si>
    <t>Conceptualisation de différents tests manuels permettant d'évaluer le bon fonctionnement des fonctionnalités à produire. Rédaction dans le rapport.</t>
  </si>
  <si>
    <t>Rédaction du rapport, mise en place de la structure de base et remplissage du plus de sections possibles.</t>
  </si>
  <si>
    <t>Utilisation du programme DB main</t>
  </si>
  <si>
    <t>Bilan de la séquence : Frontend de la page accueil.php réalisé en partie. Modélisation du MCD terminée mais je ne suis pas convaincu du résultat, il faudra sûrement y revenir par la suite.</t>
  </si>
  <si>
    <t>Rédaction du journal de travail.</t>
  </si>
  <si>
    <t>Réalisation du frontend de la page d'accueil.</t>
  </si>
  <si>
    <t>Rédaction du rapport : Ajout du MCD au rapport et début de rédaction de son analyse.</t>
  </si>
  <si>
    <t>Rédaction du rapport : Rédaction de l'analyse du MCD et du MLD. Insertion d'un pied de page et d'une en-tête.</t>
  </si>
  <si>
    <t>Modélisation de la table t_collection, ajout des tables associatives : t_belong, t_trade, t_orderCard, t_contain. Attribution du rôle de contrôle de la transaction à l'attribut ordStatus de la table t_order qui pourra varier de "En cours" à "Terminée".</t>
  </si>
  <si>
    <t>Bilan de la séquence : L'analyse et la conception de la base de données sont terminées et rédigées dans le rapport. Je constate un retard d'environ une séquence par rapport à la planification initiale mais cela s'équilibrera peut-être au fur et à mesure. La tâche de réalisation d'une page admin permettant de créer des utilisateurs via une interface a été abandonnée. Une page de création de compte depuis le site et une attribution du rôle administrateur directement depuis la DB me semble suffisant. A confirmer avec le chef de projet.</t>
  </si>
  <si>
    <t>Réalisation du frontend de la page footer.php conformément à la maquette prévue.</t>
  </si>
  <si>
    <t>Réalisation du frontend de la page header.php conformément à la maquette prévue.</t>
  </si>
  <si>
    <t>Contrôle et mise à jour du dossier à envoyer.</t>
  </si>
  <si>
    <t xml:space="preserve">Le cahier des charges indique que l'utilisateur doit pouvoir s'identifier avec un identifiant et non avec son nom, il faut donc ajouter l'attribut "useLogin" à la table t_user. </t>
  </si>
  <si>
    <t xml:space="preserve">La table t_collection ayant été créée, l'attribut "carCollection" de la table t_card devient redondant il faut donc le supprimer. </t>
  </si>
  <si>
    <t>Rédaction des corrections liées à la base de données.</t>
  </si>
  <si>
    <t>Réalisation du frontend de la page userProfile.php conformément à la maquette prévue.</t>
  </si>
  <si>
    <t>Réalisation du frontend de la page createAccount.php conformément à la maquette prévue.</t>
  </si>
  <si>
    <t>Réalisation du frontend de la page cardDetatils.php conformémement à la maquette prévue.</t>
  </si>
  <si>
    <t>Réalisation du frontend de la page addCard.php conformément à la maquette prévue.</t>
  </si>
  <si>
    <t>Rendez-vous avec M.Bertino concernant l'avancement du TPI.</t>
  </si>
  <si>
    <t>Nous nous sommes posés la question de savoir ce que devait contenir le glossaire (à partir de quand un terme doit être explicité)</t>
  </si>
  <si>
    <t>Bilan de la séquence : J'ai repéré quelques erreurs dans l'analyse et conception de la base de données, elles ont été corrigé. J'ai décidé de ne pas réaliser de page permettant de créer un utilisateur en mode interface administrateur pour l'instant. Il me semble qu'une page de création de compte est suffisante si l'administrateur octroie les droits directement depuis la base de données.</t>
  </si>
  <si>
    <t>Réalisation du frontend de la page updateCard.php conformémement à la maquette prévue.</t>
  </si>
  <si>
    <t>Demande d'un feedback à M.Charmier sur le modèle de conception de la base de données</t>
  </si>
  <si>
    <t>Bilan de la séquence : Le rendez-vous avec M.Bertino a eu lieu plus tôt que prévu dans la planification. Grâce au Feedback de M.Charmier j'ai pu retravailler le modèle de conception de la base de données.</t>
  </si>
  <si>
    <t>Ajout d'un fichier config.php permettant la connexion à la base de données et contenant toutes les informations non sensibles dans ce but. Ajout d'un fichier secrets.json contenant le mot de passe nécessaire à la connexion à la base de données ainsi qu'un fichier gitIgnore qui permet d'ignorer le fichier secrets.json dans le cas où un utilisateur téléchargerait le dossier de l'application depuis github. Ajout d'un fichier utils.php contenant la fonction getpassword() permettant de récupérer le mot de passe nécessaire à la connexion à la base de données dans le ficher secrets.json. Ajout d'un fichier secrets_exemple.json permettant à un utilisateur de reproduire la connexion à la DB dans son environnement.</t>
  </si>
  <si>
    <t>Implémentation de la base de données dans phpMyAdmin.</t>
  </si>
  <si>
    <t>Correction du modèle de la base de données. Eclatement des attributs composant l'adresse d'un utilisateur en plusieurs attributs : useLocality, usePostalCode, useStreetName, et useStreetNumber. Ajout d'un attribut carStatus dans la table t_card pour lui permettre d'apparaître ou de disparaître des articles disponibles à la vente selon les interractions des utilisateurs avec la carte.</t>
  </si>
  <si>
    <t>Implémentation du code permettant la récupération et l'envoi de l'image.</t>
  </si>
  <si>
    <t>Création d'un fichier database.php permettant de rassembler toutes les requêtes SQL et de connecter le site à la base de données via le fichier config.php. Ajout de différentes requêtes SQL.</t>
  </si>
  <si>
    <t>Bilan de la séquence : En commençant la réalisation de la base de données, je me suis rendu compte qu'il était plus pertinent de déjà optimiser la connexion à la base de données de façon sécurisée plutôt qu'attendre les dernières séquences pour le faire car cela ne prenait pas beaucoup de temps. Le retard que j'avais commence à être rattrapé, quelques requêtes SQL ont déjà pu être mises en place.</t>
  </si>
  <si>
    <t>Correction et ajustement de la conception du modèle de la base de données dans DB MAIN</t>
  </si>
  <si>
    <t xml:space="preserve">Création du modèle de DB dans le programme MySQL Workbench afin de pouvoir générer un code SQL plus optimisé pour l'application. </t>
  </si>
  <si>
    <t>https://www.databasestar.com/mysql-enum/#:~:text=In%20MySQL%2C%20ENUM%20is%20a%20data%20type.%20It,software%20development%20for%20a%20valid%20list%20of%20values.</t>
  </si>
  <si>
    <t>Recherches d'informations concernant le type enum en base de données.</t>
  </si>
  <si>
    <t>Correction du rapport suite aux modifications apportées à la conception de la base de données. Ajout du MPD et explications du choix des type pour chaque attribut de chaque table.</t>
  </si>
  <si>
    <t>https://www.mysql.com/products/workbench/</t>
  </si>
  <si>
    <t>Bilan de la séquence : J'ai choisi de prendre le temps de revenir sur le modèle de coneption de la DB suite à la discussion d'hier avec M.Charmier. J'ai remis à jour les différentes images et schéma et adapté le rapport en conséquence. Lors de l'exportation du code depuis le MLD via DB-MAIN, je me suis aperçu que le code généré n'était pas optimal. Dans l'optique de gagner du temps, j'ai préféré générer le code depuis le programme MySQL Workbench qui offre un choix plus fin de type pour les attributs. La DB a bien été importée sur phpMyAdmin, il ne reste plus qu'à expliciter le MPD dans le rapport.</t>
  </si>
  <si>
    <t>Rédaction du rapport : remplissage du rapport concernant le MPD.</t>
  </si>
  <si>
    <t>Réalisation de la requête SQL permettant d'afficher toutes les cartes et adaptadtion du code dans le formulaire de la page index.php dans ce but.</t>
  </si>
  <si>
    <t>Réalisation de la requête SQL permettant d'afficher une carte en particulier en récupérant son id dans l'URL et adaptation du code de la page cardDeatails.php dans ce but.</t>
  </si>
  <si>
    <t>Réalisation de la requête SQL permettant de supprimer une carte à partir de son id. Création d'un fichier script.js pour lancer une alerte de confirmation lors du clique de supression.</t>
  </si>
  <si>
    <t>Réalisation de la requête SQL permettant d'ajouter une carte à la DB. Adaptation du code de la page addCard.php dans ce but et ajout de commentaires.</t>
  </si>
  <si>
    <t>Relecture, mise au propre du travail effectué et envoi aux experts</t>
  </si>
  <si>
    <t>Réalisation de la rquête SQL permettant d'afficher toutes les collections existantes.</t>
  </si>
  <si>
    <t>Bilan de la séquence : Une bonne partie du temps de cette séquence a été consacré au rapport, à la réalisation de la base de données ainsi qu'aux requêtes SQL. Même s'il semble y avoir du retard par rapport à la planification initiale, le rdv avec M.Bertino est arrivé plus tôt que prévu et les tâches s'enchaînenent de façon fluides donc je ne m'inquiète pas.</t>
  </si>
  <si>
    <t>Réalisation d'une requête permettant de mettre à jour une carte dans la base de données. Adaptation du code de la page updateCard.php en conséquence.</t>
  </si>
  <si>
    <t>Réalisation d'une requête permettant de créer un utilisateur. Adaptation du code createAccount.php en conséquence.</t>
  </si>
  <si>
    <t>Demande d'aide à un enseignant concernant un conflit sur Github</t>
  </si>
  <si>
    <t>Création d'une requête permettant d'afficher les informations d'un utilisateur. Adaptation du code de la page userProfile.php en conséquence.</t>
  </si>
  <si>
    <t>Réalisation d'une requête permettant la connexion sécurisée de l'utilisateur et adaptation du code de la page header.php en conséquence.</t>
  </si>
  <si>
    <t>Implémentation du code permettant de connecter l'application à la base de données grâce à une seule instance via le pattern Singleton</t>
  </si>
  <si>
    <t>Implémentation du code permettant la gestion de la session de l'utilisateur</t>
  </si>
  <si>
    <t>Bilan de la séquence : Toutes les principales requêtes sont implémentées. J'ai commencé à implémenter le code permettant de gérer la session et l'authentification. Il ne reste plus qu'à tester que le tout fonctionne bien à la prochaine séquence.</t>
  </si>
  <si>
    <t>Réalisation d'une requête permettant de rennomer le fichier jpg envoyé lors de l'ajout d'une carte.</t>
  </si>
  <si>
    <t>Implémentation du code permettant d'afficher une page d'erreur 403 dans le cas où un utilisateur non connecté ou ne disposant pas des droits tente d'accéder une page via l'url</t>
  </si>
  <si>
    <t>Implémentation et adaptation du code permettant d'afficher des éléments et actions différents en fonction du rôle de l'utilisateur</t>
  </si>
  <si>
    <t>Implémentation d'un tableau permettant d'effectuer la validation des champs pour la création d'un utilisateur, l'ajout d'une carte et la modification d'une carte. Implémentation et adaptation du code en conséquence. Les champs sont tous obligatoires et n'ont pas d'autres critères de validation dans un premier temps.</t>
  </si>
  <si>
    <t>Modification de l'attribut useCredits dans la base de données et de la requête SQL, ajout d'une valeur par défaut à 100 crédits dans un but de test étant donné qu'aucune fonctionnalité permettant de recharger les crédits n'est prévue.</t>
  </si>
  <si>
    <t>Ajout du code sur la page index.php empêchant un utilisateur non connecté ou ne possédant pas de compte d'accéder au contenu du site en l'invitant à créer un compte ou à se connecter</t>
  </si>
  <si>
    <t>Test des requêtes SQL et de la validation des champs implémentés</t>
  </si>
  <si>
    <t>Bilan de la séquence : Le rendez-vous avec M.Bertino était initialement prévu durant cette séquence. J'ai pu bien avancer et rattraper mon retard. Gloablement je constate que l'ordre des tâches planifiées initialement a dû être remanié lors de la réalisation pour correspondre à la réalité du travail qui doit être effectué. J'ai décidé d'attribuer une valeur de 100 crédits par défaut à chaque utilisateur puisque aucune fonctionnalité permettant de recharger les crédits d'un utilisateur n'est prévue.</t>
  </si>
  <si>
    <t>Test des différentes fonctionnalités, requêtes SQL et authentification</t>
  </si>
  <si>
    <t>Corrections appliquées aux requêtes permettant l'ajout d'une carte, la création d'un utilisateur, l'affichage de toutes les cartes sur la page d'accueil, l'affichage du profil de l'utilisateur en cours.</t>
  </si>
  <si>
    <t>Bilan de la séquence : Les pages d'ajout d'une carte, de consultation des détails d'une carte, de consultation d'un profil, de consultation d'une carte et de création de compte sont fonctionnelles. Je rencontre des difficultés pour la modification d'une carte et j'ai également remarqué que les photos ajoutées, même si elles s'enregistrent bien en local et en base de données ne s'affichent pas sur le site. Il reste encore un peu de correction à effectuer avant de passer à la rédaction du rapport.</t>
  </si>
  <si>
    <t>Aide reçu d'un enseignant pour la requête d'ajout d'une carte (problématique rencontrée lors de l'ajout de la fkUser).</t>
  </si>
  <si>
    <t>Envoi du journal de travail en mode portrait pour plus de lisibilité</t>
  </si>
  <si>
    <t>Réalisation du script permettant d'afficher et cacher les filtres lorsque le bouton plus de filtres est cliqué</t>
  </si>
  <si>
    <t>Réalisation de la requête SQL permettant de filtrer une carte par le nom, la collection et l'état</t>
  </si>
  <si>
    <t>Réalisation d'une requête SQL permettant de créer une nouvelle commande en se basant sur l'id du vendeur et les id des cartes. Toutes les cartes appartenant au même vendeur se trouvant dans le panier au moment de l'achat ne vont créer qu'une seule commande. Permet également de modifier le statut d'une carte lors de l'achat (disponible/indisponible) et de vérifier si l'acheteur possède assez de crédits pour passer commande.</t>
  </si>
  <si>
    <t>Création d'une requête SQL permettant de créer une nouvelle commande insérant l'ID de l'acheteur dans la table t_order.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</si>
</sst>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indexed="12"/>
        <bgColor indexed="64"/>
      </patternFill>
    </fill>
    <fill>
      <patternFill patternType="solid">
        <fgColor rgb="FFFFFACD"/>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39">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0" fontId="2" fillId="18" borderId="27" xfId="0" applyFont="1" applyFill="1" applyBorder="1" applyProtection="1"/>
    <xf numFmtId="0" fontId="2" fillId="18" borderId="28" xfId="0" applyFont="1" applyFill="1" applyBorder="1" applyProtection="1"/>
    <xf numFmtId="0" fontId="2" fillId="18" borderId="28" xfId="0" applyFont="1" applyFill="1" applyBorder="1"/>
    <xf numFmtId="0" fontId="2" fillId="18" borderId="74" xfId="0" applyFont="1" applyFill="1" applyBorder="1"/>
    <xf numFmtId="0" fontId="0" fillId="0" borderId="2" xfId="0" applyFont="1" applyFill="1" applyBorder="1" applyAlignment="1" applyProtection="1">
      <alignment horizontal="left" vertical="top" wrapText="1"/>
      <protection locked="0"/>
    </xf>
    <xf numFmtId="0" fontId="0" fillId="0" borderId="1" xfId="0" applyFont="1" applyFill="1" applyBorder="1" applyAlignment="1" applyProtection="1">
      <alignment horizontal="left" vertical="top" wrapText="1"/>
      <protection locked="0"/>
    </xf>
    <xf numFmtId="0" fontId="2" fillId="17" borderId="21" xfId="0" applyFont="1" applyFill="1" applyBorder="1" applyProtection="1"/>
    <xf numFmtId="0" fontId="2" fillId="17" borderId="22" xfId="0" applyFont="1" applyFill="1" applyBorder="1" applyProtection="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57" xfId="0" applyFont="1" applyFill="1" applyBorder="1"/>
    <xf numFmtId="0" fontId="2" fillId="17" borderId="78" xfId="0" applyFont="1" applyFill="1" applyBorder="1"/>
    <xf numFmtId="0" fontId="2" fillId="17" borderId="55" xfId="0" applyFont="1" applyFill="1" applyBorder="1"/>
    <xf numFmtId="0" fontId="2" fillId="18" borderId="79" xfId="0" applyFont="1" applyFill="1" applyBorder="1"/>
    <xf numFmtId="0" fontId="2" fillId="18" borderId="56" xfId="0" applyFont="1" applyFill="1" applyBorder="1"/>
    <xf numFmtId="0" fontId="2" fillId="18" borderId="77" xfId="0" applyFont="1" applyFill="1" applyBorder="1"/>
    <xf numFmtId="2" fontId="12" fillId="19" borderId="63" xfId="0" applyNumberFormat="1" applyFont="1" applyFill="1" applyBorder="1" applyAlignment="1">
      <alignment horizontal="center" vertical="center"/>
    </xf>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9" fillId="5" borderId="51" xfId="0" applyFont="1" applyFill="1" applyBorder="1" applyAlignment="1" applyProtection="1">
      <alignment horizontal="left" vertical="center" wrapText="1" indent="1"/>
      <protection locked="0"/>
    </xf>
    <xf numFmtId="0" fontId="0" fillId="5" borderId="52" xfId="0" applyFont="1" applyFill="1" applyBorder="1"/>
    <xf numFmtId="0" fontId="9" fillId="5" borderId="52" xfId="0" applyFont="1" applyFill="1" applyBorder="1" applyAlignment="1" applyProtection="1">
      <alignment horizontal="left" vertical="center" wrapText="1" indent="1"/>
      <protection locked="0"/>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0" borderId="0" xfId="0" applyBorder="1" applyAlignment="1">
      <alignment horizontal="center"/>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1" fillId="0" borderId="32" xfId="1" applyFill="1" applyBorder="1" applyAlignment="1" applyProtection="1">
      <alignment horizontal="center" vertical="top" wrapText="1"/>
      <protection locked="0"/>
    </xf>
    <xf numFmtId="0" fontId="1" fillId="0" borderId="33" xfId="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1" fillId="0" borderId="44" xfId="1" applyFill="1" applyBorder="1" applyAlignment="1" applyProtection="1">
      <alignment horizontal="center" vertical="top" wrapText="1"/>
      <protection locked="0"/>
    </xf>
    <xf numFmtId="0" fontId="1" fillId="0" borderId="47" xfId="1" applyFill="1" applyBorder="1" applyAlignment="1" applyProtection="1">
      <alignment horizontal="center" vertical="top" wrapText="1"/>
      <protection locked="0"/>
    </xf>
  </cellXfs>
  <cellStyles count="2">
    <cellStyle name="Lien hypertexte" xfId="1" builtinId="8"/>
    <cellStyle name="Normal" xfId="0" builtinId="0" customBuiltin="1"/>
  </cellStyles>
  <dxfs count="5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4"/>
              <c:pt idx="0">
                <c:v>Absences - imprévus </c:v>
              </c:pt>
              <c:pt idx="1">
                <c:v>Analyse - Planification initiale</c:v>
              </c:pt>
              <c:pt idx="2">
                <c:v>Réalisation - Interfaces</c:v>
              </c:pt>
              <c:pt idx="3">
                <c:v>Doc - Journal de travail</c:v>
              </c:pt>
              <c:pt idx="4">
                <c:v>Doc - Rapport</c:v>
              </c:pt>
              <c:pt idx="5">
                <c:v>Conception - Maquettes</c:v>
              </c:pt>
              <c:pt idx="6">
                <c:v>Conception - Base de données</c:v>
              </c:pt>
              <c:pt idx="7">
                <c:v>Conception - Stratégie de tests</c:v>
              </c:pt>
              <c:pt idx="8">
                <c:v>Réalisation - Frontend</c:v>
              </c:pt>
              <c:pt idx="9">
                <c:v>Réalisation - Base de données</c:v>
              </c:pt>
              <c:pt idx="10">
                <c:v>Réalisation - Validation des champs</c:v>
              </c:pt>
              <c:pt idx="11">
                <c:v>Réalisation - Requêtes SQL</c:v>
              </c:pt>
              <c:pt idx="12">
                <c:v>Réalisation - Authentification</c:v>
              </c:pt>
              <c:pt idx="13">
                <c:v>Réalisation - Tests</c:v>
              </c:pt>
              <c:pt idx="14">
                <c:v>Optimisation</c:v>
              </c:pt>
              <c:pt idx="15">
                <c:v>Correction</c:v>
              </c:pt>
              <c:pt idx="16">
                <c:v>Compte rendu experts</c:v>
              </c:pt>
              <c:pt idx="17">
                <c:v>Réalisation - Transfert de l'image</c:v>
              </c:pt>
              <c:pt idx="18">
                <c:v>Doc - Mesures de sécurité </c:v>
              </c:pt>
              <c:pt idx="19">
                <c:v>Réalisation - Filtres</c:v>
              </c:pt>
              <c:pt idx="20">
                <c:v>Réalisation - Système de mise en attente des points de crédits</c:v>
              </c:pt>
              <c:pt idx="21">
                <c:v>Doc - Manuel d'installation</c:v>
              </c:pt>
              <c:pt idx="22">
                <c:v>Aide</c:v>
              </c:pt>
            </c:strLit>
          </c:cat>
          <c:val>
            <c:numLit>
              <c:formatCode>General</c:formatCode>
              <c:ptCount val="24"/>
              <c:pt idx="0">
                <c:v>0</c:v>
              </c:pt>
              <c:pt idx="1">
                <c:v>7.0799999237060547</c:v>
              </c:pt>
              <c:pt idx="2">
                <c:v>0</c:v>
              </c:pt>
              <c:pt idx="3">
                <c:v>7.6700000762939453</c:v>
              </c:pt>
              <c:pt idx="4">
                <c:v>18.5</c:v>
              </c:pt>
              <c:pt idx="5">
                <c:v>2.25</c:v>
              </c:pt>
              <c:pt idx="6">
                <c:v>2.4200000762939453</c:v>
              </c:pt>
              <c:pt idx="7">
                <c:v>1.1699999570846558</c:v>
              </c:pt>
              <c:pt idx="8">
                <c:v>6.4200000762939453</c:v>
              </c:pt>
              <c:pt idx="9">
                <c:v>1.4199999570846558</c:v>
              </c:pt>
              <c:pt idx="10">
                <c:v>2.4200000762939453</c:v>
              </c:pt>
              <c:pt idx="11">
                <c:v>3.25</c:v>
              </c:pt>
              <c:pt idx="12">
                <c:v>1.9199999570846558</c:v>
              </c:pt>
              <c:pt idx="13">
                <c:v>3.25</c:v>
              </c:pt>
              <c:pt idx="14">
                <c:v>9.1700000762939453</c:v>
              </c:pt>
              <c:pt idx="15">
                <c:v>10.420000076293945</c:v>
              </c:pt>
              <c:pt idx="16">
                <c:v>0.82999998331069946</c:v>
              </c:pt>
              <c:pt idx="17">
                <c:v>1</c:v>
              </c:pt>
              <c:pt idx="18">
                <c:v>0.75</c:v>
              </c:pt>
              <c:pt idx="19">
                <c:v>3.4200000762939453</c:v>
              </c:pt>
              <c:pt idx="20">
                <c:v>3.25</c:v>
              </c:pt>
              <c:pt idx="21">
                <c:v>2.4200000762939453</c:v>
              </c:pt>
              <c:pt idx="22">
                <c:v>0</c:v>
              </c:pt>
              <c:pt idx="23">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24"/>
              <c:pt idx="0">
                <c:v>0</c:v>
              </c:pt>
              <c:pt idx="1">
                <c:v>7.0799999237060547</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7.9999998211860657E-2</c:v>
              </c:pt>
              <c:pt idx="17">
                <c:v>0</c:v>
              </c:pt>
              <c:pt idx="18">
                <c:v>0</c:v>
              </c:pt>
              <c:pt idx="19">
                <c:v>0</c:v>
              </c:pt>
              <c:pt idx="20">
                <c:v>0</c:v>
              </c:pt>
              <c:pt idx="21">
                <c:v>0</c:v>
              </c:pt>
              <c:pt idx="22">
                <c:v>0</c:v>
              </c:pt>
              <c:pt idx="23">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52214" y="197069"/>
          <a:ext cx="1333500"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106267"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printerSettings" Target="../printerSettings/printerSettings3.bin"/><Relationship Id="rId7" Type="http://schemas.openxmlformats.org/officeDocument/2006/relationships/image" Target="../media/image3.emf"/><Relationship Id="rId2" Type="http://schemas.openxmlformats.org/officeDocument/2006/relationships/hyperlink" Target="https://github.com/davassayah/TPI_David_Assayah_2023" TargetMode="External"/><Relationship Id="rId1" Type="http://schemas.openxmlformats.org/officeDocument/2006/relationships/hyperlink" Target="https://github.com/davassayah/TPI_David_Assayah_2023" TargetMode="External"/><Relationship Id="rId6" Type="http://schemas.openxmlformats.org/officeDocument/2006/relationships/control" Target="../activeX/activeX2.xml"/><Relationship Id="rId5" Type="http://schemas.openxmlformats.org/officeDocument/2006/relationships/vmlDrawing" Target="../drawings/vmlDrawing2.vml"/><Relationship Id="rId4" Type="http://schemas.openxmlformats.org/officeDocument/2006/relationships/drawing" Target="../drawings/drawing3.xml"/><Relationship Id="rId9" Type="http://schemas.openxmlformats.org/officeDocument/2006/relationships/image" Target="../media/image4.emf"/></Relationships>
</file>

<file path=xl/worksheets/_rels/sheet4.xml.rels><?xml version="1.0" encoding="UTF-8" standalone="yes"?>
<Relationships xmlns="http://schemas.openxmlformats.org/package/2006/relationships"><Relationship Id="rId8" Type="http://schemas.openxmlformats.org/officeDocument/2006/relationships/vmlDrawing" Target="../drawings/vmlDrawing3.vml"/><Relationship Id="rId3" Type="http://schemas.openxmlformats.org/officeDocument/2006/relationships/hyperlink" Target="https://www.mockflow.com/" TargetMode="External"/><Relationship Id="rId7" Type="http://schemas.openxmlformats.org/officeDocument/2006/relationships/drawing" Target="../drawings/drawing4.xml"/><Relationship Id="rId12" Type="http://schemas.openxmlformats.org/officeDocument/2006/relationships/image" Target="../media/image6.emf"/><Relationship Id="rId2" Type="http://schemas.openxmlformats.org/officeDocument/2006/relationships/hyperlink" Target="https://github.com/davassayah/TPI_David_Assayah_2023" TargetMode="External"/><Relationship Id="rId1" Type="http://schemas.openxmlformats.org/officeDocument/2006/relationships/hyperlink" Target="https://github.com/davassayah/TPI_David_Assayah_2023" TargetMode="External"/><Relationship Id="rId6" Type="http://schemas.openxmlformats.org/officeDocument/2006/relationships/printerSettings" Target="../printerSettings/printerSettings4.bin"/><Relationship Id="rId11" Type="http://schemas.openxmlformats.org/officeDocument/2006/relationships/control" Target="../activeX/activeX5.xml"/><Relationship Id="rId5" Type="http://schemas.openxmlformats.org/officeDocument/2006/relationships/hyperlink" Target="https://www.mysql.com/products/workbench/" TargetMode="External"/><Relationship Id="rId10" Type="http://schemas.openxmlformats.org/officeDocument/2006/relationships/image" Target="../media/image5.emf"/><Relationship Id="rId4" Type="http://schemas.openxmlformats.org/officeDocument/2006/relationships/hyperlink" Target="https://www.databasestar.com/mysql-enum/" TargetMode="External"/><Relationship Id="rId9"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workbookViewId="0">
      <selection activeCell="F50" sqref="F50"/>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187" t="s">
        <v>31</v>
      </c>
      <c r="C35" s="187"/>
      <c r="D35" s="187"/>
      <c r="E35" s="107" t="s">
        <v>174</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188" t="s">
        <v>32</v>
      </c>
      <c r="C37" s="188"/>
      <c r="D37" s="188"/>
      <c r="E37" s="109" t="s">
        <v>175</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27</v>
      </c>
      <c r="E39" s="186" t="s">
        <v>176</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LV99"/>
  <sheetViews>
    <sheetView showGridLines="0" topLeftCell="A28" zoomScale="70" zoomScaleNormal="70" zoomScaleSheetLayoutView="43" workbookViewId="0">
      <selection activeCell="C65" sqref="C65:C66"/>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1685" width="1.140625" style="3" customWidth="1"/>
    <col min="1686" max="1686" width="2.7109375" style="3" customWidth="1"/>
    <col min="1687" max="16384" width="11.42578125" style="3"/>
  </cols>
  <sheetData>
    <row r="1" spans="1:1686" ht="35.1" customHeight="1" x14ac:dyDescent="0.25">
      <c r="B1" s="95"/>
      <c r="C1" s="219" t="s">
        <v>28</v>
      </c>
      <c r="D1" s="219"/>
      <c r="E1" s="219"/>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87"/>
      <c r="BHG1" s="87"/>
      <c r="BHH1" s="87"/>
      <c r="BHI1" s="87"/>
      <c r="BHJ1" s="87"/>
      <c r="BHK1" s="87"/>
      <c r="BHL1" s="87"/>
      <c r="BHM1" s="87"/>
      <c r="BHN1" s="87"/>
      <c r="BHO1" s="87"/>
      <c r="BHP1" s="87"/>
      <c r="BHQ1" s="87"/>
      <c r="BHR1" s="87"/>
      <c r="BHS1" s="87"/>
      <c r="BHT1" s="87"/>
      <c r="BHU1" s="87"/>
      <c r="BHV1" s="87"/>
      <c r="BHW1" s="87"/>
      <c r="BHX1" s="87"/>
      <c r="BHY1" s="87"/>
      <c r="BHZ1" s="87"/>
      <c r="BIA1" s="87"/>
      <c r="BIB1" s="87"/>
      <c r="BIC1" s="87"/>
      <c r="BID1" s="87"/>
      <c r="BIE1" s="87"/>
      <c r="BIF1" s="87"/>
      <c r="BIG1" s="87"/>
      <c r="BIH1" s="87"/>
      <c r="BII1" s="87"/>
      <c r="BIJ1" s="87"/>
      <c r="BIK1" s="87"/>
      <c r="BIL1" s="87"/>
      <c r="BIM1" s="87"/>
      <c r="BIN1" s="87"/>
      <c r="BIO1" s="87"/>
      <c r="BIP1" s="87"/>
      <c r="BIQ1" s="87"/>
      <c r="BIR1" s="87"/>
      <c r="BIS1" s="87"/>
      <c r="BIT1" s="87"/>
      <c r="BIU1" s="87"/>
      <c r="BIV1" s="87"/>
      <c r="BIW1" s="87"/>
      <c r="BIX1" s="87"/>
      <c r="BIY1" s="87"/>
      <c r="BIZ1" s="87"/>
      <c r="BJA1" s="87"/>
      <c r="BJB1" s="87"/>
      <c r="BJC1" s="87"/>
      <c r="BJD1" s="87"/>
      <c r="BJE1" s="87"/>
      <c r="BJF1" s="87"/>
      <c r="BJG1" s="87"/>
      <c r="BJH1" s="87"/>
      <c r="BJI1" s="87"/>
      <c r="BJJ1" s="87"/>
      <c r="BJK1" s="87"/>
      <c r="BJL1" s="87"/>
      <c r="BJM1" s="87"/>
      <c r="BJN1" s="87"/>
      <c r="BJO1" s="87"/>
      <c r="BJP1" s="87"/>
      <c r="BJQ1" s="87"/>
      <c r="BJR1" s="87"/>
      <c r="BJS1" s="87"/>
      <c r="BJT1" s="87"/>
      <c r="BJU1" s="87"/>
      <c r="BJV1" s="87"/>
      <c r="BJW1" s="87"/>
      <c r="BJX1" s="87"/>
      <c r="BJY1" s="87"/>
      <c r="BJZ1" s="87"/>
      <c r="BKA1" s="87"/>
      <c r="BKB1" s="87"/>
      <c r="BKC1" s="87"/>
      <c r="BKD1" s="87"/>
      <c r="BKE1" s="87"/>
      <c r="BKF1" s="87"/>
      <c r="BKG1" s="87"/>
      <c r="BKH1" s="87"/>
      <c r="BKI1" s="87"/>
      <c r="BKJ1" s="87"/>
      <c r="BKK1" s="87"/>
      <c r="BKL1" s="87"/>
      <c r="BKM1" s="87"/>
      <c r="BKN1" s="87"/>
      <c r="BKO1" s="87"/>
      <c r="BKP1" s="87"/>
      <c r="BKQ1" s="87"/>
      <c r="BKR1" s="87"/>
      <c r="BKS1" s="87"/>
      <c r="BKT1" s="87"/>
      <c r="BKU1" s="87"/>
      <c r="BKV1" s="87"/>
      <c r="BKW1" s="87"/>
      <c r="BKX1" s="87"/>
      <c r="BKY1" s="87"/>
      <c r="BKZ1" s="87"/>
      <c r="BLA1" s="87"/>
      <c r="BLB1" s="87"/>
      <c r="BLC1" s="87"/>
      <c r="BLD1" s="87"/>
      <c r="BLE1" s="87"/>
      <c r="BLF1" s="87"/>
      <c r="BLG1" s="87"/>
      <c r="BLH1" s="87"/>
      <c r="BLI1" s="87"/>
      <c r="BLJ1" s="87"/>
      <c r="BLK1" s="87"/>
      <c r="BLL1" s="87"/>
      <c r="BLM1" s="87"/>
      <c r="BLN1" s="87"/>
      <c r="BLO1" s="87"/>
      <c r="BLP1" s="87"/>
      <c r="BLQ1" s="87"/>
      <c r="BLR1" s="87"/>
      <c r="BLS1" s="87"/>
      <c r="BLT1" s="87"/>
      <c r="BLU1" s="87"/>
      <c r="BLV1" s="93">
        <v>1</v>
      </c>
    </row>
    <row r="2" spans="1:168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88"/>
      <c r="BHG2" s="88"/>
      <c r="BHH2" s="88"/>
      <c r="BHI2" s="88"/>
      <c r="BHJ2" s="88"/>
      <c r="BHK2" s="88"/>
      <c r="BHL2" s="88"/>
      <c r="BHM2" s="88"/>
      <c r="BHN2" s="88"/>
      <c r="BHO2" s="88"/>
      <c r="BHP2" s="88"/>
      <c r="BHQ2" s="88"/>
      <c r="BHR2" s="88"/>
      <c r="BHS2" s="88"/>
      <c r="BHT2" s="88"/>
      <c r="BHU2" s="88"/>
      <c r="BHV2" s="88"/>
      <c r="BHW2" s="88"/>
      <c r="BHX2" s="88"/>
      <c r="BHY2" s="88"/>
      <c r="BHZ2" s="88"/>
      <c r="BIA2" s="88"/>
      <c r="BIB2" s="88"/>
      <c r="BIC2" s="88"/>
      <c r="BID2" s="88"/>
      <c r="BIE2" s="88"/>
      <c r="BIF2" s="88"/>
      <c r="BIG2" s="88"/>
      <c r="BIH2" s="88"/>
      <c r="BII2" s="88"/>
      <c r="BIJ2" s="88"/>
      <c r="BIK2" s="88"/>
      <c r="BIL2" s="88"/>
      <c r="BIM2" s="88"/>
      <c r="BIN2" s="88"/>
      <c r="BIO2" s="88"/>
      <c r="BIP2" s="88"/>
      <c r="BIQ2" s="88"/>
      <c r="BIR2" s="88"/>
      <c r="BIS2" s="88"/>
      <c r="BIT2" s="88"/>
      <c r="BIU2" s="88"/>
      <c r="BIV2" s="88"/>
      <c r="BIW2" s="88"/>
      <c r="BIX2" s="88"/>
      <c r="BIY2" s="88"/>
      <c r="BIZ2" s="88"/>
      <c r="BJA2" s="88"/>
      <c r="BJB2" s="88"/>
      <c r="BJC2" s="88"/>
      <c r="BJD2" s="88"/>
      <c r="BJE2" s="88"/>
      <c r="BJF2" s="88"/>
      <c r="BJG2" s="88"/>
      <c r="BJH2" s="88"/>
      <c r="BJI2" s="88"/>
      <c r="BJJ2" s="88"/>
      <c r="BJK2" s="88"/>
      <c r="BJL2" s="88"/>
      <c r="BJM2" s="88"/>
      <c r="BJN2" s="88"/>
      <c r="BJO2" s="88"/>
      <c r="BJP2" s="88"/>
      <c r="BJQ2" s="88"/>
      <c r="BJR2" s="88"/>
      <c r="BJS2" s="88"/>
      <c r="BJT2" s="88"/>
      <c r="BJU2" s="88"/>
      <c r="BJV2" s="88"/>
      <c r="BJW2" s="88"/>
      <c r="BJX2" s="88"/>
      <c r="BJY2" s="88"/>
      <c r="BJZ2" s="88"/>
      <c r="BKA2" s="88"/>
      <c r="BKB2" s="88"/>
      <c r="BKC2" s="88"/>
      <c r="BKD2" s="88"/>
      <c r="BKE2" s="88"/>
      <c r="BKF2" s="88"/>
      <c r="BKG2" s="88"/>
      <c r="BKH2" s="88"/>
      <c r="BKI2" s="88"/>
      <c r="BKJ2" s="88"/>
      <c r="BKK2" s="88"/>
      <c r="BKL2" s="88"/>
      <c r="BKM2" s="88"/>
      <c r="BKN2" s="88"/>
      <c r="BKO2" s="88"/>
      <c r="BKP2" s="88"/>
      <c r="BKQ2" s="88"/>
      <c r="BKR2" s="88"/>
      <c r="BKS2" s="88"/>
      <c r="BKT2" s="88"/>
      <c r="BKU2" s="88"/>
      <c r="BKV2" s="88"/>
      <c r="BKW2" s="88"/>
      <c r="BKX2" s="88"/>
      <c r="BKY2" s="88"/>
      <c r="BKZ2" s="88"/>
      <c r="BLA2" s="88"/>
      <c r="BLB2" s="88"/>
      <c r="BLC2" s="88"/>
      <c r="BLD2" s="88"/>
      <c r="BLE2" s="88"/>
      <c r="BLF2" s="88"/>
      <c r="BLG2" s="88"/>
      <c r="BLH2" s="88"/>
      <c r="BLI2" s="88"/>
      <c r="BLJ2" s="88"/>
      <c r="BLK2" s="88"/>
      <c r="BLL2" s="88"/>
      <c r="BLM2" s="88"/>
      <c r="BLN2" s="88"/>
      <c r="BLO2" s="88"/>
      <c r="BLP2" s="88"/>
      <c r="BLQ2" s="88"/>
      <c r="BLR2" s="88"/>
      <c r="BLS2" s="88"/>
      <c r="BLT2" s="88"/>
      <c r="BLU2" s="88"/>
      <c r="BLV2" s="90"/>
    </row>
    <row r="3" spans="1:1686" ht="30" customHeight="1" x14ac:dyDescent="0.25">
      <c r="B3" s="96"/>
      <c r="C3" s="7" t="s">
        <v>54</v>
      </c>
      <c r="D3" s="140"/>
      <c r="E3" s="8" t="s">
        <v>8</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88"/>
      <c r="BHG3" s="88"/>
      <c r="BHH3" s="88"/>
      <c r="BHI3" s="88"/>
      <c r="BHJ3" s="88"/>
      <c r="BHK3" s="88"/>
      <c r="BHL3" s="88"/>
      <c r="BHM3" s="88"/>
      <c r="BHN3" s="88"/>
      <c r="BHO3" s="88"/>
      <c r="BHP3" s="88"/>
      <c r="BHQ3" s="88"/>
      <c r="BHR3" s="88"/>
      <c r="BHS3" s="88"/>
      <c r="BHT3" s="88"/>
      <c r="BHU3" s="88"/>
      <c r="BHV3" s="88"/>
      <c r="BHW3" s="88"/>
      <c r="BHX3" s="88"/>
      <c r="BHY3" s="88"/>
      <c r="BHZ3" s="88"/>
      <c r="BIA3" s="88"/>
      <c r="BIB3" s="88"/>
      <c r="BIC3" s="88"/>
      <c r="BID3" s="88"/>
      <c r="BIE3" s="88"/>
      <c r="BIF3" s="88"/>
      <c r="BIG3" s="88"/>
      <c r="BIH3" s="88"/>
      <c r="BII3" s="88"/>
      <c r="BIJ3" s="88"/>
      <c r="BIK3" s="88"/>
      <c r="BIL3" s="88"/>
      <c r="BIM3" s="88"/>
      <c r="BIN3" s="88"/>
      <c r="BIO3" s="88"/>
      <c r="BIP3" s="88"/>
      <c r="BIQ3" s="88"/>
      <c r="BIR3" s="88"/>
      <c r="BIS3" s="88"/>
      <c r="BIT3" s="88"/>
      <c r="BIU3" s="88"/>
      <c r="BIV3" s="88"/>
      <c r="BIW3" s="88"/>
      <c r="BIX3" s="88"/>
      <c r="BIY3" s="88"/>
      <c r="BIZ3" s="88"/>
      <c r="BJA3" s="88"/>
      <c r="BJB3" s="88"/>
      <c r="BJC3" s="88"/>
      <c r="BJD3" s="88"/>
      <c r="BJE3" s="88"/>
      <c r="BJF3" s="88"/>
      <c r="BJG3" s="88"/>
      <c r="BJH3" s="88"/>
      <c r="BJI3" s="88"/>
      <c r="BJJ3" s="88"/>
      <c r="BJK3" s="88"/>
      <c r="BJL3" s="88"/>
      <c r="BJM3" s="88"/>
      <c r="BJN3" s="88"/>
      <c r="BJO3" s="88"/>
      <c r="BJP3" s="88"/>
      <c r="BJQ3" s="88"/>
      <c r="BJR3" s="88"/>
      <c r="BJS3" s="88"/>
      <c r="BJT3" s="88"/>
      <c r="BJU3" s="88"/>
      <c r="BJV3" s="88"/>
      <c r="BJW3" s="88"/>
      <c r="BJX3" s="88"/>
      <c r="BJY3" s="88"/>
      <c r="BJZ3" s="88"/>
      <c r="BKA3" s="88"/>
      <c r="BKB3" s="88"/>
      <c r="BKC3" s="88"/>
      <c r="BKD3" s="88"/>
      <c r="BKE3" s="88"/>
      <c r="BKF3" s="88"/>
      <c r="BKG3" s="88"/>
      <c r="BKH3" s="88"/>
      <c r="BKI3" s="88"/>
      <c r="BKJ3" s="88"/>
      <c r="BKK3" s="88"/>
      <c r="BKL3" s="88"/>
      <c r="BKM3" s="88"/>
      <c r="BKN3" s="88"/>
      <c r="BKO3" s="88"/>
      <c r="BKP3" s="88"/>
      <c r="BKQ3" s="88"/>
      <c r="BKR3" s="88"/>
      <c r="BKS3" s="88"/>
      <c r="BKT3" s="88"/>
      <c r="BKU3" s="88"/>
      <c r="BKV3" s="88"/>
      <c r="BKW3" s="88"/>
      <c r="BKX3" s="88"/>
      <c r="BKY3" s="88"/>
      <c r="BKZ3" s="88"/>
      <c r="BLA3" s="88"/>
      <c r="BLB3" s="88"/>
      <c r="BLC3" s="88"/>
      <c r="BLD3" s="88"/>
      <c r="BLE3" s="88"/>
      <c r="BLF3" s="88"/>
      <c r="BLG3" s="88"/>
      <c r="BLH3" s="88"/>
      <c r="BLI3" s="88"/>
      <c r="BLJ3" s="88"/>
      <c r="BLK3" s="88"/>
      <c r="BLL3" s="88"/>
      <c r="BLM3" s="88"/>
      <c r="BLN3" s="88"/>
      <c r="BLO3" s="88"/>
      <c r="BLP3" s="88"/>
      <c r="BLQ3" s="88"/>
      <c r="BLR3" s="88"/>
      <c r="BLS3" s="88"/>
      <c r="BLT3" s="88"/>
      <c r="BLU3" s="88"/>
      <c r="BLV3" s="90"/>
    </row>
    <row r="4" spans="1:1686" ht="30" customHeight="1" x14ac:dyDescent="0.25">
      <c r="B4" s="96"/>
      <c r="C4" s="12" t="s">
        <v>55</v>
      </c>
      <c r="D4" s="141"/>
      <c r="E4" s="13" t="s">
        <v>58</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88"/>
      <c r="BHG4" s="88"/>
      <c r="BHH4" s="88"/>
      <c r="BHI4" s="88"/>
      <c r="BHJ4" s="88"/>
      <c r="BHK4" s="88"/>
      <c r="BHL4" s="88"/>
      <c r="BHM4" s="88"/>
      <c r="BHN4" s="88"/>
      <c r="BHO4" s="88"/>
      <c r="BHP4" s="88"/>
      <c r="BHQ4" s="88"/>
      <c r="BHR4" s="88"/>
      <c r="BHS4" s="88"/>
      <c r="BHT4" s="88"/>
      <c r="BHU4" s="88"/>
      <c r="BHV4" s="88"/>
      <c r="BHW4" s="88"/>
      <c r="BHX4" s="88"/>
      <c r="BHY4" s="88"/>
      <c r="BHZ4" s="88"/>
      <c r="BIA4" s="88"/>
      <c r="BIB4" s="88"/>
      <c r="BIC4" s="88"/>
      <c r="BID4" s="88"/>
      <c r="BIE4" s="88"/>
      <c r="BIF4" s="88"/>
      <c r="BIG4" s="88"/>
      <c r="BIH4" s="88"/>
      <c r="BII4" s="88"/>
      <c r="BIJ4" s="88"/>
      <c r="BIK4" s="88"/>
      <c r="BIL4" s="88"/>
      <c r="BIM4" s="88"/>
      <c r="BIN4" s="88"/>
      <c r="BIO4" s="88"/>
      <c r="BIP4" s="88"/>
      <c r="BIQ4" s="88"/>
      <c r="BIR4" s="88"/>
      <c r="BIS4" s="88"/>
      <c r="BIT4" s="88"/>
      <c r="BIU4" s="88"/>
      <c r="BIV4" s="88"/>
      <c r="BIW4" s="88"/>
      <c r="BIX4" s="88"/>
      <c r="BIY4" s="88"/>
      <c r="BIZ4" s="88"/>
      <c r="BJA4" s="88"/>
      <c r="BJB4" s="88"/>
      <c r="BJC4" s="88"/>
      <c r="BJD4" s="88"/>
      <c r="BJE4" s="88"/>
      <c r="BJF4" s="88"/>
      <c r="BJG4" s="88"/>
      <c r="BJH4" s="88"/>
      <c r="BJI4" s="88"/>
      <c r="BJJ4" s="88"/>
      <c r="BJK4" s="88"/>
      <c r="BJL4" s="88"/>
      <c r="BJM4" s="88"/>
      <c r="BJN4" s="88"/>
      <c r="BJO4" s="88"/>
      <c r="BJP4" s="88"/>
      <c r="BJQ4" s="88"/>
      <c r="BJR4" s="88"/>
      <c r="BJS4" s="88"/>
      <c r="BJT4" s="88"/>
      <c r="BJU4" s="88"/>
      <c r="BJV4" s="88"/>
      <c r="BJW4" s="88"/>
      <c r="BJX4" s="88"/>
      <c r="BJY4" s="88"/>
      <c r="BJZ4" s="88"/>
      <c r="BKA4" s="88"/>
      <c r="BKB4" s="88"/>
      <c r="BKC4" s="88"/>
      <c r="BKD4" s="88"/>
      <c r="BKE4" s="88"/>
      <c r="BKF4" s="88"/>
      <c r="BKG4" s="88"/>
      <c r="BKH4" s="88"/>
      <c r="BKI4" s="88"/>
      <c r="BKJ4" s="88"/>
      <c r="BKK4" s="88"/>
      <c r="BKL4" s="88"/>
      <c r="BKM4" s="88"/>
      <c r="BKN4" s="88"/>
      <c r="BKO4" s="88"/>
      <c r="BKP4" s="88"/>
      <c r="BKQ4" s="88"/>
      <c r="BKR4" s="88"/>
      <c r="BKS4" s="88"/>
      <c r="BKT4" s="88"/>
      <c r="BKU4" s="88"/>
      <c r="BKV4" s="88"/>
      <c r="BKW4" s="88"/>
      <c r="BKX4" s="88"/>
      <c r="BKY4" s="88"/>
      <c r="BKZ4" s="88"/>
      <c r="BLA4" s="88"/>
      <c r="BLB4" s="88"/>
      <c r="BLC4" s="88"/>
      <c r="BLD4" s="88"/>
      <c r="BLE4" s="88"/>
      <c r="BLF4" s="88"/>
      <c r="BLG4" s="88"/>
      <c r="BLH4" s="88"/>
      <c r="BLI4" s="88"/>
      <c r="BLJ4" s="88"/>
      <c r="BLK4" s="88"/>
      <c r="BLL4" s="88"/>
      <c r="BLM4" s="88"/>
      <c r="BLN4" s="88"/>
      <c r="BLO4" s="88"/>
      <c r="BLP4" s="88"/>
      <c r="BLQ4" s="88"/>
      <c r="BLR4" s="88"/>
      <c r="BLS4" s="88"/>
      <c r="BLT4" s="88"/>
      <c r="BLU4" s="88"/>
      <c r="BLV4" s="90"/>
    </row>
    <row r="5" spans="1:1686" ht="30" customHeight="1" x14ac:dyDescent="0.25">
      <c r="B5" s="96"/>
      <c r="C5" s="12" t="s">
        <v>56</v>
      </c>
      <c r="D5" s="141"/>
      <c r="E5" s="13"/>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88"/>
      <c r="BHG5" s="88"/>
      <c r="BHH5" s="88"/>
      <c r="BHI5" s="88"/>
      <c r="BHJ5" s="88"/>
      <c r="BHK5" s="88"/>
      <c r="BHL5" s="88"/>
      <c r="BHM5" s="88"/>
      <c r="BHN5" s="88"/>
      <c r="BHO5" s="88"/>
      <c r="BHP5" s="88"/>
      <c r="BHQ5" s="88"/>
      <c r="BHR5" s="88"/>
      <c r="BHS5" s="88"/>
      <c r="BHT5" s="88"/>
      <c r="BHU5" s="88"/>
      <c r="BHV5" s="88"/>
      <c r="BHW5" s="88"/>
      <c r="BHX5" s="88"/>
      <c r="BHY5" s="88"/>
      <c r="BHZ5" s="88"/>
      <c r="BIA5" s="88"/>
      <c r="BIB5" s="88"/>
      <c r="BIC5" s="88"/>
      <c r="BID5" s="88"/>
      <c r="BIE5" s="88"/>
      <c r="BIF5" s="88"/>
      <c r="BIG5" s="88"/>
      <c r="BIH5" s="88"/>
      <c r="BII5" s="88"/>
      <c r="BIJ5" s="88"/>
      <c r="BIK5" s="88"/>
      <c r="BIL5" s="88"/>
      <c r="BIM5" s="88"/>
      <c r="BIN5" s="88"/>
      <c r="BIO5" s="88"/>
      <c r="BIP5" s="88"/>
      <c r="BIQ5" s="88"/>
      <c r="BIR5" s="88"/>
      <c r="BIS5" s="88"/>
      <c r="BIT5" s="88"/>
      <c r="BIU5" s="88"/>
      <c r="BIV5" s="88"/>
      <c r="BIW5" s="88"/>
      <c r="BIX5" s="88"/>
      <c r="BIY5" s="88"/>
      <c r="BIZ5" s="88"/>
      <c r="BJA5" s="88"/>
      <c r="BJB5" s="88"/>
      <c r="BJC5" s="88"/>
      <c r="BJD5" s="88"/>
      <c r="BJE5" s="88"/>
      <c r="BJF5" s="88"/>
      <c r="BJG5" s="88"/>
      <c r="BJH5" s="88"/>
      <c r="BJI5" s="88"/>
      <c r="BJJ5" s="88"/>
      <c r="BJK5" s="88"/>
      <c r="BJL5" s="88"/>
      <c r="BJM5" s="88"/>
      <c r="BJN5" s="88"/>
      <c r="BJO5" s="88"/>
      <c r="BJP5" s="88"/>
      <c r="BJQ5" s="88"/>
      <c r="BJR5" s="88"/>
      <c r="BJS5" s="88"/>
      <c r="BJT5" s="88"/>
      <c r="BJU5" s="88"/>
      <c r="BJV5" s="88"/>
      <c r="BJW5" s="88"/>
      <c r="BJX5" s="88"/>
      <c r="BJY5" s="88"/>
      <c r="BJZ5" s="88"/>
      <c r="BKA5" s="88"/>
      <c r="BKB5" s="88"/>
      <c r="BKC5" s="88"/>
      <c r="BKD5" s="88"/>
      <c r="BKE5" s="88"/>
      <c r="BKF5" s="88"/>
      <c r="BKG5" s="88"/>
      <c r="BKH5" s="88"/>
      <c r="BKI5" s="88"/>
      <c r="BKJ5" s="88"/>
      <c r="BKK5" s="88"/>
      <c r="BKL5" s="88"/>
      <c r="BKM5" s="88"/>
      <c r="BKN5" s="88"/>
      <c r="BKO5" s="88"/>
      <c r="BKP5" s="88"/>
      <c r="BKQ5" s="88"/>
      <c r="BKR5" s="88"/>
      <c r="BKS5" s="88"/>
      <c r="BKT5" s="88"/>
      <c r="BKU5" s="88"/>
      <c r="BKV5" s="88"/>
      <c r="BKW5" s="88"/>
      <c r="BKX5" s="88"/>
      <c r="BKY5" s="88"/>
      <c r="BKZ5" s="88"/>
      <c r="BLA5" s="88"/>
      <c r="BLB5" s="88"/>
      <c r="BLC5" s="88"/>
      <c r="BLD5" s="88"/>
      <c r="BLE5" s="88"/>
      <c r="BLF5" s="88"/>
      <c r="BLG5" s="88"/>
      <c r="BLH5" s="88"/>
      <c r="BLI5" s="88"/>
      <c r="BLJ5" s="88"/>
      <c r="BLK5" s="88"/>
      <c r="BLL5" s="88"/>
      <c r="BLM5" s="88"/>
      <c r="BLN5" s="88"/>
      <c r="BLO5" s="88"/>
      <c r="BLP5" s="88"/>
      <c r="BLQ5" s="88"/>
      <c r="BLR5" s="88"/>
      <c r="BLS5" s="88"/>
      <c r="BLT5" s="88"/>
      <c r="BLU5" s="88"/>
      <c r="BLV5" s="90"/>
    </row>
    <row r="6" spans="1:1686" ht="30" customHeight="1" thickBot="1" x14ac:dyDescent="0.3">
      <c r="B6" s="96"/>
      <c r="C6" s="17" t="s">
        <v>57</v>
      </c>
      <c r="D6" s="142"/>
      <c r="E6" s="18" t="s">
        <v>7</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88"/>
      <c r="BHG6" s="88"/>
      <c r="BHH6" s="88"/>
      <c r="BHI6" s="88"/>
      <c r="BHJ6" s="88"/>
      <c r="BHK6" s="88"/>
      <c r="BHL6" s="88"/>
      <c r="BHM6" s="88"/>
      <c r="BHN6" s="88"/>
      <c r="BHO6" s="88"/>
      <c r="BHP6" s="88"/>
      <c r="BHQ6" s="88"/>
      <c r="BHR6" s="88"/>
      <c r="BHS6" s="88"/>
      <c r="BHT6" s="88"/>
      <c r="BHU6" s="88"/>
      <c r="BHV6" s="88"/>
      <c r="BHW6" s="88"/>
      <c r="BHX6" s="88"/>
      <c r="BHY6" s="88"/>
      <c r="BHZ6" s="88"/>
      <c r="BIA6" s="88"/>
      <c r="BIB6" s="88"/>
      <c r="BIC6" s="88"/>
      <c r="BID6" s="88"/>
      <c r="BIE6" s="88"/>
      <c r="BIF6" s="88"/>
      <c r="BIG6" s="88"/>
      <c r="BIH6" s="88"/>
      <c r="BII6" s="88"/>
      <c r="BIJ6" s="88"/>
      <c r="BIK6" s="88"/>
      <c r="BIL6" s="88"/>
      <c r="BIM6" s="88"/>
      <c r="BIN6" s="88"/>
      <c r="BIO6" s="88"/>
      <c r="BIP6" s="88"/>
      <c r="BIQ6" s="88"/>
      <c r="BIR6" s="88"/>
      <c r="BIS6" s="88"/>
      <c r="BIT6" s="88"/>
      <c r="BIU6" s="88"/>
      <c r="BIV6" s="88"/>
      <c r="BIW6" s="88"/>
      <c r="BIX6" s="88"/>
      <c r="BIY6" s="88"/>
      <c r="BIZ6" s="88"/>
      <c r="BJA6" s="88"/>
      <c r="BJB6" s="88"/>
      <c r="BJC6" s="88"/>
      <c r="BJD6" s="88"/>
      <c r="BJE6" s="88"/>
      <c r="BJF6" s="88"/>
      <c r="BJG6" s="88"/>
      <c r="BJH6" s="88"/>
      <c r="BJI6" s="88"/>
      <c r="BJJ6" s="88"/>
      <c r="BJK6" s="88"/>
      <c r="BJL6" s="88"/>
      <c r="BJM6" s="88"/>
      <c r="BJN6" s="88"/>
      <c r="BJO6" s="88"/>
      <c r="BJP6" s="88"/>
      <c r="BJQ6" s="88"/>
      <c r="BJR6" s="88"/>
      <c r="BJS6" s="88"/>
      <c r="BJT6" s="88"/>
      <c r="BJU6" s="88"/>
      <c r="BJV6" s="88"/>
      <c r="BJW6" s="88"/>
      <c r="BJX6" s="88"/>
      <c r="BJY6" s="88"/>
      <c r="BJZ6" s="88"/>
      <c r="BKA6" s="88"/>
      <c r="BKB6" s="88"/>
      <c r="BKC6" s="88"/>
      <c r="BKD6" s="88"/>
      <c r="BKE6" s="88"/>
      <c r="BKF6" s="88"/>
      <c r="BKG6" s="88"/>
      <c r="BKH6" s="88"/>
      <c r="BKI6" s="88"/>
      <c r="BKJ6" s="88"/>
      <c r="BKK6" s="88"/>
      <c r="BKL6" s="88"/>
      <c r="BKM6" s="88"/>
      <c r="BKN6" s="88"/>
      <c r="BKO6" s="88"/>
      <c r="BKP6" s="88"/>
      <c r="BKQ6" s="88"/>
      <c r="BKR6" s="88"/>
      <c r="BKS6" s="88"/>
      <c r="BKT6" s="88"/>
      <c r="BKU6" s="88"/>
      <c r="BKV6" s="88"/>
      <c r="BKW6" s="88"/>
      <c r="BKX6" s="88"/>
      <c r="BKY6" s="88"/>
      <c r="BKZ6" s="88"/>
      <c r="BLA6" s="88"/>
      <c r="BLB6" s="88"/>
      <c r="BLC6" s="88"/>
      <c r="BLD6" s="88"/>
      <c r="BLE6" s="88"/>
      <c r="BLF6" s="88"/>
      <c r="BLG6" s="88"/>
      <c r="BLH6" s="88"/>
      <c r="BLI6" s="88"/>
      <c r="BLJ6" s="88"/>
      <c r="BLK6" s="88"/>
      <c r="BLL6" s="88"/>
      <c r="BLM6" s="88"/>
      <c r="BLN6" s="88"/>
      <c r="BLO6" s="88"/>
      <c r="BLP6" s="88"/>
      <c r="BLQ6" s="88"/>
      <c r="BLR6" s="88"/>
      <c r="BLS6" s="88"/>
      <c r="BLT6" s="88"/>
      <c r="BLU6" s="88"/>
      <c r="BLV6" s="90"/>
    </row>
    <row r="7" spans="1:1686" ht="20.100000000000001" customHeight="1" thickBot="1" x14ac:dyDescent="0.3">
      <c r="B7" s="96"/>
      <c r="C7" s="220"/>
      <c r="D7" s="220"/>
      <c r="E7" s="220"/>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88"/>
      <c r="BHG7" s="88"/>
      <c r="BHH7" s="88"/>
      <c r="BHI7" s="88"/>
      <c r="BHJ7" s="88"/>
      <c r="BHK7" s="88"/>
      <c r="BHL7" s="88"/>
      <c r="BHM7" s="88"/>
      <c r="BHN7" s="88"/>
      <c r="BHO7" s="88"/>
      <c r="BHP7" s="88"/>
      <c r="BHQ7" s="88"/>
      <c r="BHR7" s="88"/>
      <c r="BHS7" s="88"/>
      <c r="BHT7" s="88"/>
      <c r="BHU7" s="88"/>
      <c r="BHV7" s="88"/>
      <c r="BHW7" s="88"/>
      <c r="BHX7" s="88"/>
      <c r="BHY7" s="88"/>
      <c r="BHZ7" s="88"/>
      <c r="BIA7" s="88"/>
      <c r="BIB7" s="88"/>
      <c r="BIC7" s="88"/>
      <c r="BID7" s="88"/>
      <c r="BIE7" s="88"/>
      <c r="BIF7" s="88"/>
      <c r="BIG7" s="88"/>
      <c r="BIH7" s="88"/>
      <c r="BII7" s="88"/>
      <c r="BIJ7" s="88"/>
      <c r="BIK7" s="88"/>
      <c r="BIL7" s="88"/>
      <c r="BIM7" s="88"/>
      <c r="BIN7" s="88"/>
      <c r="BIO7" s="88"/>
      <c r="BIP7" s="88"/>
      <c r="BIQ7" s="88"/>
      <c r="BIR7" s="88"/>
      <c r="BIS7" s="88"/>
      <c r="BIT7" s="88"/>
      <c r="BIU7" s="88"/>
      <c r="BIV7" s="88"/>
      <c r="BIW7" s="88"/>
      <c r="BIX7" s="88"/>
      <c r="BIY7" s="88"/>
      <c r="BIZ7" s="88"/>
      <c r="BJA7" s="88"/>
      <c r="BJB7" s="88"/>
      <c r="BJC7" s="88"/>
      <c r="BJD7" s="88"/>
      <c r="BJE7" s="88"/>
      <c r="BJF7" s="88"/>
      <c r="BJG7" s="88"/>
      <c r="BJH7" s="88"/>
      <c r="BJI7" s="88"/>
      <c r="BJJ7" s="88"/>
      <c r="BJK7" s="88"/>
      <c r="BJL7" s="88"/>
      <c r="BJM7" s="88"/>
      <c r="BJN7" s="88"/>
      <c r="BJO7" s="88"/>
      <c r="BJP7" s="88"/>
      <c r="BJQ7" s="88"/>
      <c r="BJR7" s="88"/>
      <c r="BJS7" s="88"/>
      <c r="BJT7" s="88"/>
      <c r="BJU7" s="88"/>
      <c r="BJV7" s="88"/>
      <c r="BJW7" s="88"/>
      <c r="BJX7" s="88"/>
      <c r="BJY7" s="88"/>
      <c r="BJZ7" s="88"/>
      <c r="BKA7" s="88"/>
      <c r="BKB7" s="88"/>
      <c r="BKC7" s="88"/>
      <c r="BKD7" s="88"/>
      <c r="BKE7" s="88"/>
      <c r="BKF7" s="88"/>
      <c r="BKG7" s="88"/>
      <c r="BKH7" s="88"/>
      <c r="BKI7" s="88"/>
      <c r="BKJ7" s="88"/>
      <c r="BKK7" s="88"/>
      <c r="BKL7" s="88"/>
      <c r="BKM7" s="88"/>
      <c r="BKN7" s="88"/>
      <c r="BKO7" s="88"/>
      <c r="BKP7" s="88"/>
      <c r="BKQ7" s="88"/>
      <c r="BKR7" s="88"/>
      <c r="BKS7" s="88"/>
      <c r="BKT7" s="88"/>
      <c r="BKU7" s="88"/>
      <c r="BKV7" s="88"/>
      <c r="BKW7" s="88"/>
      <c r="BKX7" s="88"/>
      <c r="BKY7" s="88"/>
      <c r="BKZ7" s="88"/>
      <c r="BLA7" s="88"/>
      <c r="BLB7" s="88"/>
      <c r="BLC7" s="88"/>
      <c r="BLD7" s="88"/>
      <c r="BLE7" s="88"/>
      <c r="BLF7" s="88"/>
      <c r="BLG7" s="88"/>
      <c r="BLH7" s="88"/>
      <c r="BLI7" s="88"/>
      <c r="BLJ7" s="88"/>
      <c r="BLK7" s="88"/>
      <c r="BLL7" s="88"/>
      <c r="BLM7" s="88"/>
      <c r="BLN7" s="88"/>
      <c r="BLO7" s="88"/>
      <c r="BLP7" s="88"/>
      <c r="BLQ7" s="88"/>
      <c r="BLR7" s="88"/>
      <c r="BLS7" s="88"/>
      <c r="BLT7" s="88"/>
      <c r="BLU7" s="88"/>
      <c r="BLV7" s="90"/>
    </row>
    <row r="8" spans="1:1686" ht="30" customHeight="1" x14ac:dyDescent="0.25">
      <c r="B8" s="96"/>
      <c r="C8" s="7" t="s">
        <v>0</v>
      </c>
      <c r="D8" s="140"/>
      <c r="E8" s="8" t="s">
        <v>59</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88"/>
      <c r="BHG8" s="88"/>
      <c r="BHH8" s="88"/>
      <c r="BHI8" s="88"/>
      <c r="BHJ8" s="88"/>
      <c r="BHK8" s="88"/>
      <c r="BHL8" s="88"/>
      <c r="BHM8" s="88"/>
      <c r="BHN8" s="88"/>
      <c r="BHO8" s="88"/>
      <c r="BHP8" s="88"/>
      <c r="BHQ8" s="88"/>
      <c r="BHR8" s="88"/>
      <c r="BHS8" s="88"/>
      <c r="BHT8" s="88"/>
      <c r="BHU8" s="88"/>
      <c r="BHV8" s="88"/>
      <c r="BHW8" s="88"/>
      <c r="BHX8" s="88"/>
      <c r="BHY8" s="88"/>
      <c r="BHZ8" s="88"/>
      <c r="BIA8" s="88"/>
      <c r="BIB8" s="88"/>
      <c r="BIC8" s="88"/>
      <c r="BID8" s="88"/>
      <c r="BIE8" s="88"/>
      <c r="BIF8" s="88"/>
      <c r="BIG8" s="88"/>
      <c r="BIH8" s="88"/>
      <c r="BII8" s="88"/>
      <c r="BIJ8" s="88"/>
      <c r="BIK8" s="88"/>
      <c r="BIL8" s="88"/>
      <c r="BIM8" s="88"/>
      <c r="BIN8" s="88"/>
      <c r="BIO8" s="88"/>
      <c r="BIP8" s="88"/>
      <c r="BIQ8" s="88"/>
      <c r="BIR8" s="88"/>
      <c r="BIS8" s="88"/>
      <c r="BIT8" s="88"/>
      <c r="BIU8" s="88"/>
      <c r="BIV8" s="88"/>
      <c r="BIW8" s="88"/>
      <c r="BIX8" s="88"/>
      <c r="BIY8" s="88"/>
      <c r="BIZ8" s="88"/>
      <c r="BJA8" s="88"/>
      <c r="BJB8" s="88"/>
      <c r="BJC8" s="88"/>
      <c r="BJD8" s="88"/>
      <c r="BJE8" s="88"/>
      <c r="BJF8" s="88"/>
      <c r="BJG8" s="88"/>
      <c r="BJH8" s="88"/>
      <c r="BJI8" s="88"/>
      <c r="BJJ8" s="88"/>
      <c r="BJK8" s="88"/>
      <c r="BJL8" s="88"/>
      <c r="BJM8" s="88"/>
      <c r="BJN8" s="88"/>
      <c r="BJO8" s="88"/>
      <c r="BJP8" s="88"/>
      <c r="BJQ8" s="88"/>
      <c r="BJR8" s="88"/>
      <c r="BJS8" s="88"/>
      <c r="BJT8" s="88"/>
      <c r="BJU8" s="88"/>
      <c r="BJV8" s="88"/>
      <c r="BJW8" s="88"/>
      <c r="BJX8" s="88"/>
      <c r="BJY8" s="88"/>
      <c r="BJZ8" s="88"/>
      <c r="BKA8" s="88"/>
      <c r="BKB8" s="88"/>
      <c r="BKC8" s="88"/>
      <c r="BKD8" s="88"/>
      <c r="BKE8" s="88"/>
      <c r="BKF8" s="88"/>
      <c r="BKG8" s="88"/>
      <c r="BKH8" s="88"/>
      <c r="BKI8" s="88"/>
      <c r="BKJ8" s="88"/>
      <c r="BKK8" s="88"/>
      <c r="BKL8" s="88"/>
      <c r="BKM8" s="88"/>
      <c r="BKN8" s="88"/>
      <c r="BKO8" s="88"/>
      <c r="BKP8" s="88"/>
      <c r="BKQ8" s="88"/>
      <c r="BKR8" s="88"/>
      <c r="BKS8" s="88"/>
      <c r="BKT8" s="88"/>
      <c r="BKU8" s="88"/>
      <c r="BKV8" s="88"/>
      <c r="BKW8" s="88"/>
      <c r="BKX8" s="88"/>
      <c r="BKY8" s="88"/>
      <c r="BKZ8" s="88"/>
      <c r="BLA8" s="88"/>
      <c r="BLB8" s="88"/>
      <c r="BLC8" s="88"/>
      <c r="BLD8" s="88"/>
      <c r="BLE8" s="88"/>
      <c r="BLF8" s="88"/>
      <c r="BLG8" s="88"/>
      <c r="BLH8" s="88"/>
      <c r="BLI8" s="88"/>
      <c r="BLJ8" s="88"/>
      <c r="BLK8" s="88"/>
      <c r="BLL8" s="88"/>
      <c r="BLM8" s="88"/>
      <c r="BLN8" s="88"/>
      <c r="BLO8" s="88"/>
      <c r="BLP8" s="88"/>
      <c r="BLQ8" s="88"/>
      <c r="BLR8" s="88"/>
      <c r="BLS8" s="88"/>
      <c r="BLT8" s="88"/>
      <c r="BLU8" s="88"/>
      <c r="BLV8" s="90"/>
    </row>
    <row r="9" spans="1:1686" ht="30" customHeight="1" x14ac:dyDescent="0.25">
      <c r="B9" s="96"/>
      <c r="C9" s="12" t="s">
        <v>15</v>
      </c>
      <c r="D9" s="141"/>
      <c r="E9" s="13" t="s">
        <v>19</v>
      </c>
      <c r="F9" s="14"/>
      <c r="G9" s="215" t="str">
        <f>E96</f>
        <v>89h</v>
      </c>
      <c r="H9" s="215"/>
      <c r="I9" s="215"/>
      <c r="J9" s="215"/>
      <c r="K9" s="215"/>
      <c r="L9" s="215"/>
      <c r="M9" s="215"/>
      <c r="N9" s="215"/>
      <c r="O9" s="215"/>
      <c r="P9" s="215"/>
      <c r="Q9" s="215"/>
      <c r="R9" s="215"/>
      <c r="S9" s="215"/>
      <c r="T9" s="215"/>
      <c r="U9" s="215"/>
      <c r="V9" s="119"/>
      <c r="W9" s="214" t="s">
        <v>20</v>
      </c>
      <c r="X9" s="214"/>
      <c r="Y9" s="214"/>
      <c r="Z9" s="214"/>
      <c r="AA9" s="214"/>
      <c r="AB9" s="214"/>
      <c r="AC9" s="214"/>
      <c r="AD9" s="214"/>
      <c r="AE9" s="214"/>
      <c r="AF9" s="214"/>
      <c r="AG9" s="214"/>
      <c r="AH9" s="215" t="str">
        <f>E98</f>
        <v>7h10min</v>
      </c>
      <c r="AI9" s="215"/>
      <c r="AJ9" s="215"/>
      <c r="AK9" s="215"/>
      <c r="AL9" s="215"/>
      <c r="AM9" s="215"/>
      <c r="AN9" s="215"/>
      <c r="AO9" s="215"/>
      <c r="AP9" s="215"/>
      <c r="AQ9" s="215"/>
      <c r="AR9" s="215"/>
      <c r="AS9" s="215"/>
      <c r="AT9" s="215"/>
      <c r="AU9" s="215"/>
      <c r="AV9" s="215"/>
      <c r="AW9" s="215"/>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88"/>
      <c r="BHG9" s="88"/>
      <c r="BHH9" s="88"/>
      <c r="BHI9" s="88"/>
      <c r="BHJ9" s="88"/>
      <c r="BHK9" s="88"/>
      <c r="BHL9" s="88"/>
      <c r="BHM9" s="88"/>
      <c r="BHN9" s="88"/>
      <c r="BHO9" s="88"/>
      <c r="BHP9" s="88"/>
      <c r="BHQ9" s="88"/>
      <c r="BHR9" s="88"/>
      <c r="BHS9" s="88"/>
      <c r="BHT9" s="88"/>
      <c r="BHU9" s="88"/>
      <c r="BHV9" s="88"/>
      <c r="BHW9" s="88"/>
      <c r="BHX9" s="88"/>
      <c r="BHY9" s="88"/>
      <c r="BHZ9" s="88"/>
      <c r="BIA9" s="88"/>
      <c r="BIB9" s="88"/>
      <c r="BIC9" s="88"/>
      <c r="BID9" s="88"/>
      <c r="BIE9" s="88"/>
      <c r="BIF9" s="88"/>
      <c r="BIG9" s="88"/>
      <c r="BIH9" s="88"/>
      <c r="BII9" s="88"/>
      <c r="BIJ9" s="88"/>
      <c r="BIK9" s="88"/>
      <c r="BIL9" s="88"/>
      <c r="BIM9" s="88"/>
      <c r="BIN9" s="88"/>
      <c r="BIO9" s="88"/>
      <c r="BIP9" s="88"/>
      <c r="BIQ9" s="88"/>
      <c r="BIR9" s="88"/>
      <c r="BIS9" s="88"/>
      <c r="BIT9" s="88"/>
      <c r="BIU9" s="88"/>
      <c r="BIV9" s="88"/>
      <c r="BIW9" s="88"/>
      <c r="BIX9" s="88"/>
      <c r="BIY9" s="88"/>
      <c r="BIZ9" s="88"/>
      <c r="BJA9" s="88"/>
      <c r="BJB9" s="88"/>
      <c r="BJC9" s="88"/>
      <c r="BJD9" s="88"/>
      <c r="BJE9" s="88"/>
      <c r="BJF9" s="88"/>
      <c r="BJG9" s="88"/>
      <c r="BJH9" s="88"/>
      <c r="BJI9" s="88"/>
      <c r="BJJ9" s="88"/>
      <c r="BJK9" s="88"/>
      <c r="BJL9" s="88"/>
      <c r="BJM9" s="88"/>
      <c r="BJN9" s="88"/>
      <c r="BJO9" s="88"/>
      <c r="BJP9" s="88"/>
      <c r="BJQ9" s="88"/>
      <c r="BJR9" s="88"/>
      <c r="BJS9" s="88"/>
      <c r="BJT9" s="88"/>
      <c r="BJU9" s="88"/>
      <c r="BJV9" s="88"/>
      <c r="BJW9" s="88"/>
      <c r="BJX9" s="88"/>
      <c r="BJY9" s="88"/>
      <c r="BJZ9" s="88"/>
      <c r="BKA9" s="88"/>
      <c r="BKB9" s="88"/>
      <c r="BKC9" s="88"/>
      <c r="BKD9" s="88"/>
      <c r="BKE9" s="88"/>
      <c r="BKF9" s="88"/>
      <c r="BKG9" s="88"/>
      <c r="BKH9" s="88"/>
      <c r="BKI9" s="88"/>
      <c r="BKJ9" s="88"/>
      <c r="BKK9" s="88"/>
      <c r="BKL9" s="88"/>
      <c r="BKM9" s="88"/>
      <c r="BKN9" s="88"/>
      <c r="BKO9" s="88"/>
      <c r="BKP9" s="88"/>
      <c r="BKQ9" s="88"/>
      <c r="BKR9" s="88"/>
      <c r="BKS9" s="88"/>
      <c r="BKT9" s="88"/>
      <c r="BKU9" s="88"/>
      <c r="BKV9" s="88"/>
      <c r="BKW9" s="88"/>
      <c r="BKX9" s="88"/>
      <c r="BKY9" s="88"/>
      <c r="BKZ9" s="88"/>
      <c r="BLA9" s="88"/>
      <c r="BLB9" s="88"/>
      <c r="BLC9" s="88"/>
      <c r="BLD9" s="88"/>
      <c r="BLE9" s="88"/>
      <c r="BLF9" s="88"/>
      <c r="BLG9" s="88"/>
      <c r="BLH9" s="88"/>
      <c r="BLI9" s="88"/>
      <c r="BLJ9" s="88"/>
      <c r="BLK9" s="88"/>
      <c r="BLL9" s="88"/>
      <c r="BLM9" s="88"/>
      <c r="BLN9" s="88"/>
      <c r="BLO9" s="88"/>
      <c r="BLP9" s="88"/>
      <c r="BLQ9" s="88"/>
      <c r="BLR9" s="88"/>
      <c r="BLS9" s="88"/>
      <c r="BLT9" s="88"/>
      <c r="BLU9" s="88"/>
      <c r="BLV9" s="90"/>
    </row>
    <row r="10" spans="1:1686"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16"/>
      <c r="BO10" s="216"/>
      <c r="BP10" s="216"/>
      <c r="BQ10" s="216"/>
      <c r="BR10" s="216"/>
      <c r="BS10" s="216"/>
      <c r="BT10" s="216"/>
      <c r="BU10" s="216"/>
      <c r="BV10" s="216"/>
      <c r="BW10" s="216"/>
      <c r="BX10" s="216"/>
      <c r="BY10" s="216"/>
      <c r="BZ10" s="216"/>
      <c r="CA10" s="216"/>
      <c r="CB10" s="216"/>
      <c r="CC10" s="216"/>
      <c r="CD10" s="216"/>
      <c r="CE10" s="216"/>
      <c r="CF10" s="216"/>
      <c r="CG10" s="216"/>
      <c r="CH10" s="216"/>
      <c r="CI10" s="216"/>
      <c r="CJ10" s="216"/>
      <c r="CK10" s="216"/>
      <c r="CL10" s="216"/>
      <c r="CM10" s="216"/>
      <c r="CN10" s="216"/>
      <c r="CO10" s="216"/>
      <c r="CP10" s="216"/>
      <c r="CQ10" s="92"/>
      <c r="CR10" s="189"/>
      <c r="CS10" s="189"/>
      <c r="CT10" s="189"/>
      <c r="CU10" s="189"/>
      <c r="CV10" s="189"/>
      <c r="CW10" s="189"/>
      <c r="CX10" s="189"/>
      <c r="CY10" s="189"/>
      <c r="CZ10" s="189"/>
      <c r="DA10" s="189"/>
      <c r="DB10" s="189"/>
      <c r="DC10" s="189"/>
      <c r="DD10" s="189"/>
      <c r="DE10" s="189"/>
      <c r="DF10" s="189"/>
      <c r="DG10" s="189"/>
      <c r="DH10" s="189"/>
      <c r="DI10" s="189"/>
      <c r="DJ10" s="189"/>
      <c r="DK10" s="189"/>
      <c r="DL10" s="189"/>
      <c r="DM10" s="189"/>
      <c r="DN10" s="189"/>
      <c r="DO10" s="189"/>
      <c r="DP10" s="189"/>
      <c r="DQ10" s="189"/>
      <c r="DR10" s="189"/>
      <c r="DS10" s="189"/>
      <c r="DT10" s="189"/>
      <c r="DU10" s="189"/>
      <c r="DV10" s="189"/>
      <c r="DW10" s="189"/>
      <c r="DX10" s="189"/>
      <c r="DY10" s="189"/>
      <c r="DZ10" s="189"/>
      <c r="EA10" s="189"/>
      <c r="EB10" s="189"/>
      <c r="EC10" s="189"/>
      <c r="ED10" s="189"/>
      <c r="EE10" s="189"/>
      <c r="EF10" s="189"/>
      <c r="EG10" s="189"/>
      <c r="EH10" s="189"/>
      <c r="EI10" s="189"/>
      <c r="EJ10" s="189"/>
      <c r="EK10" s="189"/>
      <c r="EL10" s="189"/>
      <c r="EM10" s="189"/>
      <c r="EN10" s="189"/>
      <c r="EO10" s="189"/>
      <c r="EP10" s="189"/>
      <c r="EQ10" s="189"/>
      <c r="ER10" s="189"/>
      <c r="ES10" s="189"/>
      <c r="ET10" s="189"/>
      <c r="EU10" s="189"/>
      <c r="EV10" s="189"/>
      <c r="EW10" s="189"/>
      <c r="EX10" s="189"/>
      <c r="EY10" s="189"/>
      <c r="EZ10" s="189"/>
      <c r="FA10" s="189"/>
      <c r="FB10" s="189"/>
      <c r="FC10" s="189"/>
      <c r="FD10" s="189"/>
      <c r="FE10" s="189"/>
      <c r="FF10" s="189"/>
      <c r="FG10" s="189"/>
      <c r="FH10" s="189"/>
      <c r="FI10" s="189"/>
      <c r="FJ10" s="189"/>
      <c r="FK10" s="189"/>
      <c r="FL10" s="189"/>
      <c r="FM10" s="189"/>
      <c r="FN10" s="189"/>
      <c r="FO10" s="189"/>
      <c r="FP10" s="189"/>
      <c r="FQ10" s="189"/>
      <c r="FR10" s="189"/>
      <c r="FS10" s="189"/>
      <c r="FT10" s="189"/>
      <c r="FU10" s="189"/>
      <c r="FV10" s="189"/>
      <c r="FW10" s="189"/>
      <c r="FX10" s="189"/>
      <c r="FY10" s="189"/>
      <c r="FZ10" s="189"/>
      <c r="GA10" s="189"/>
      <c r="GB10" s="189"/>
      <c r="GC10" s="189"/>
      <c r="GD10" s="189"/>
      <c r="GE10" s="189"/>
      <c r="GF10" s="189"/>
      <c r="GG10" s="189"/>
      <c r="GH10" s="189"/>
      <c r="GI10" s="189"/>
      <c r="GJ10" s="189"/>
      <c r="GK10" s="189"/>
      <c r="GL10" s="189"/>
      <c r="GM10" s="189"/>
      <c r="GN10" s="189"/>
      <c r="GO10" s="189"/>
      <c r="GP10" s="189"/>
      <c r="GQ10" s="189"/>
      <c r="GR10" s="189"/>
      <c r="GS10" s="189"/>
      <c r="GT10" s="189"/>
      <c r="GU10" s="189"/>
      <c r="GV10" s="189"/>
      <c r="GW10" s="189"/>
      <c r="GX10" s="189"/>
      <c r="GY10" s="189"/>
      <c r="GZ10" s="189"/>
      <c r="HA10" s="189"/>
      <c r="HB10" s="189"/>
      <c r="HC10" s="189"/>
      <c r="HD10" s="189"/>
      <c r="HE10" s="189"/>
      <c r="HF10" s="189"/>
      <c r="HG10" s="189"/>
      <c r="HH10" s="189"/>
      <c r="HI10" s="189"/>
      <c r="HJ10" s="189"/>
      <c r="HK10" s="189"/>
      <c r="HL10" s="189"/>
      <c r="HM10" s="189"/>
      <c r="HN10" s="189"/>
      <c r="HO10" s="189"/>
      <c r="HP10" s="189"/>
      <c r="HQ10" s="189"/>
      <c r="HR10" s="189"/>
      <c r="HS10" s="189"/>
      <c r="HT10" s="189"/>
      <c r="HU10" s="189"/>
      <c r="HV10" s="189"/>
      <c r="HW10" s="189"/>
      <c r="HX10" s="189"/>
      <c r="HY10" s="189"/>
      <c r="HZ10" s="189"/>
      <c r="IA10" s="189"/>
      <c r="IB10" s="189"/>
      <c r="IC10" s="189"/>
      <c r="ID10" s="189"/>
      <c r="IE10" s="189"/>
      <c r="IF10" s="189"/>
      <c r="IG10" s="189"/>
      <c r="IH10" s="189"/>
      <c r="II10" s="189"/>
      <c r="IJ10" s="189"/>
      <c r="IK10" s="189"/>
      <c r="IL10" s="189"/>
      <c r="IM10" s="189"/>
      <c r="IN10" s="189"/>
      <c r="IO10" s="189"/>
      <c r="IP10" s="189"/>
      <c r="IQ10" s="189"/>
      <c r="IR10" s="189"/>
      <c r="IS10" s="189"/>
      <c r="IT10" s="189"/>
      <c r="IU10" s="189"/>
      <c r="IV10" s="189"/>
      <c r="IW10" s="189"/>
      <c r="IX10" s="189"/>
      <c r="IY10" s="189"/>
      <c r="IZ10" s="189"/>
      <c r="JA10" s="189"/>
      <c r="JB10" s="189"/>
      <c r="JC10" s="189"/>
      <c r="JD10" s="189"/>
      <c r="JE10" s="189"/>
      <c r="JF10" s="189"/>
      <c r="JG10" s="189"/>
      <c r="JH10" s="189"/>
      <c r="JI10" s="189"/>
      <c r="JJ10" s="189"/>
      <c r="JK10" s="189"/>
      <c r="JL10" s="189"/>
      <c r="JM10" s="189"/>
      <c r="JN10" s="189"/>
      <c r="JO10" s="189"/>
      <c r="JP10" s="189"/>
      <c r="JQ10" s="189"/>
      <c r="JR10" s="189"/>
      <c r="JS10" s="189"/>
      <c r="JT10" s="189"/>
      <c r="JU10" s="189"/>
      <c r="JV10" s="189"/>
      <c r="JW10" s="189"/>
      <c r="JX10" s="189"/>
      <c r="JY10" s="189"/>
      <c r="JZ10" s="189"/>
      <c r="KA10" s="189"/>
      <c r="KB10" s="189"/>
      <c r="KC10" s="189"/>
      <c r="KD10" s="189"/>
      <c r="KE10" s="189"/>
      <c r="KF10" s="189"/>
      <c r="KG10" s="189"/>
      <c r="KH10" s="189"/>
      <c r="KI10" s="189"/>
      <c r="KJ10" s="189"/>
      <c r="KK10" s="189"/>
      <c r="KL10" s="189"/>
      <c r="KM10" s="189"/>
      <c r="KN10" s="189"/>
      <c r="KO10" s="189"/>
      <c r="KP10" s="189"/>
      <c r="KQ10" s="189"/>
      <c r="KR10" s="189"/>
      <c r="KS10" s="189"/>
      <c r="KT10" s="189"/>
      <c r="KU10" s="189"/>
      <c r="KV10" s="189"/>
      <c r="KW10" s="189"/>
      <c r="KX10" s="189"/>
      <c r="KY10" s="189"/>
      <c r="KZ10" s="189"/>
      <c r="LA10" s="189"/>
      <c r="LB10" s="189"/>
      <c r="LC10" s="189"/>
      <c r="LD10" s="189"/>
      <c r="LE10" s="189"/>
      <c r="LF10" s="189"/>
      <c r="LG10" s="189"/>
      <c r="LH10" s="189"/>
      <c r="LI10" s="189"/>
      <c r="LJ10" s="189"/>
      <c r="LK10" s="189"/>
      <c r="LL10" s="189"/>
      <c r="LM10" s="189"/>
      <c r="LN10" s="189"/>
      <c r="LO10" s="189"/>
      <c r="LP10" s="189"/>
      <c r="LQ10" s="189"/>
      <c r="LR10" s="189"/>
      <c r="LS10" s="189"/>
      <c r="LT10" s="189"/>
      <c r="LU10" s="189"/>
      <c r="LV10" s="189"/>
      <c r="LW10" s="189"/>
      <c r="LX10" s="189"/>
      <c r="LY10" s="189"/>
      <c r="LZ10" s="189"/>
      <c r="MA10" s="189"/>
      <c r="MB10" s="189"/>
      <c r="MC10" s="189"/>
      <c r="MD10" s="189"/>
      <c r="ME10" s="189"/>
      <c r="MF10" s="189"/>
      <c r="MG10" s="189"/>
      <c r="MH10" s="189"/>
      <c r="MI10" s="189"/>
      <c r="MJ10" s="189"/>
      <c r="MK10" s="189"/>
      <c r="ML10" s="189"/>
      <c r="MM10" s="189"/>
      <c r="MN10" s="189"/>
      <c r="MO10" s="189"/>
      <c r="MP10" s="189"/>
      <c r="MQ10" s="189"/>
      <c r="MR10" s="189"/>
      <c r="MS10" s="189"/>
      <c r="MT10" s="189"/>
      <c r="MU10" s="189"/>
      <c r="MV10" s="189"/>
      <c r="MW10" s="189"/>
      <c r="MX10" s="189"/>
      <c r="MY10" s="189"/>
      <c r="MZ10" s="189"/>
      <c r="NA10" s="189"/>
      <c r="NB10" s="189"/>
      <c r="NC10" s="189"/>
      <c r="ND10" s="189"/>
      <c r="NE10" s="189"/>
      <c r="NF10" s="189"/>
      <c r="NG10" s="189"/>
      <c r="NH10" s="189"/>
      <c r="NI10" s="189"/>
      <c r="NJ10" s="189"/>
      <c r="NK10" s="189"/>
      <c r="NL10" s="189"/>
      <c r="NM10" s="189"/>
      <c r="NN10" s="189"/>
      <c r="NO10" s="189"/>
      <c r="NP10" s="189"/>
      <c r="NQ10" s="189"/>
      <c r="NR10" s="189"/>
      <c r="NS10" s="189"/>
      <c r="NT10" s="189"/>
      <c r="NU10" s="189"/>
      <c r="NV10" s="189"/>
      <c r="NW10" s="189"/>
      <c r="NX10" s="189"/>
      <c r="NY10" s="189"/>
      <c r="NZ10" s="189"/>
      <c r="OA10" s="189"/>
      <c r="OB10" s="189"/>
      <c r="OC10" s="189"/>
      <c r="OD10" s="189"/>
      <c r="OE10" s="189"/>
      <c r="OF10" s="189"/>
      <c r="OG10" s="189"/>
      <c r="OH10" s="189"/>
      <c r="OI10" s="189"/>
      <c r="OJ10" s="189"/>
      <c r="OK10" s="189"/>
      <c r="OL10" s="189"/>
      <c r="OM10" s="189"/>
      <c r="ON10" s="189"/>
      <c r="OO10" s="189"/>
      <c r="OP10" s="189"/>
      <c r="OQ10" s="189"/>
      <c r="OR10" s="189"/>
      <c r="OS10" s="189"/>
      <c r="OT10" s="189"/>
      <c r="OU10" s="189"/>
      <c r="OV10" s="189"/>
      <c r="OW10" s="189"/>
      <c r="OX10" s="189"/>
      <c r="OY10" s="189"/>
      <c r="OZ10" s="189"/>
      <c r="PA10" s="189"/>
      <c r="PB10" s="189"/>
      <c r="PC10" s="189"/>
      <c r="PD10" s="189"/>
      <c r="PE10" s="189"/>
      <c r="PF10" s="189"/>
      <c r="PG10" s="189"/>
      <c r="PH10" s="189"/>
      <c r="PI10" s="189"/>
      <c r="PJ10" s="189"/>
      <c r="PK10" s="189"/>
      <c r="PL10" s="189"/>
      <c r="PM10" s="189"/>
      <c r="PN10" s="189"/>
      <c r="PO10" s="189"/>
      <c r="PP10" s="189"/>
      <c r="PQ10" s="189"/>
      <c r="PR10" s="189"/>
      <c r="PS10" s="189"/>
      <c r="PT10" s="189"/>
      <c r="PU10" s="189"/>
      <c r="PV10" s="189"/>
      <c r="PW10" s="189"/>
      <c r="PX10" s="189"/>
      <c r="PY10" s="189"/>
      <c r="PZ10" s="189"/>
      <c r="QA10" s="189"/>
      <c r="QB10" s="189"/>
      <c r="QC10" s="189"/>
      <c r="QD10" s="189"/>
      <c r="QE10" s="189"/>
      <c r="QF10" s="189"/>
      <c r="QG10" s="189"/>
      <c r="QH10" s="189"/>
      <c r="QI10" s="189"/>
      <c r="QJ10" s="189"/>
      <c r="QK10" s="189"/>
      <c r="QL10" s="189"/>
      <c r="QM10" s="189"/>
      <c r="QN10" s="189"/>
      <c r="QO10" s="189"/>
      <c r="QP10" s="189"/>
      <c r="QQ10" s="189"/>
      <c r="QR10" s="189"/>
      <c r="QS10" s="189"/>
      <c r="QT10" s="189"/>
      <c r="QU10" s="189"/>
      <c r="QV10" s="189"/>
      <c r="QW10" s="189"/>
      <c r="QX10" s="189"/>
      <c r="QY10" s="189"/>
      <c r="QZ10" s="189"/>
      <c r="RA10" s="189"/>
      <c r="RB10" s="189"/>
      <c r="RC10" s="189"/>
      <c r="RD10" s="189"/>
      <c r="RE10" s="189"/>
      <c r="RF10" s="189"/>
      <c r="RG10" s="189"/>
      <c r="RH10" s="189"/>
      <c r="RI10" s="189"/>
      <c r="RJ10" s="189"/>
      <c r="RK10" s="189"/>
      <c r="RL10" s="189"/>
      <c r="RM10" s="189"/>
      <c r="RN10" s="189"/>
      <c r="RO10" s="189"/>
      <c r="RP10" s="189"/>
      <c r="RQ10" s="189"/>
      <c r="RR10" s="189"/>
      <c r="RS10" s="189"/>
      <c r="RT10" s="189"/>
      <c r="RU10" s="189"/>
      <c r="RV10" s="189"/>
      <c r="RW10" s="189"/>
      <c r="RX10" s="189"/>
      <c r="RY10" s="189"/>
      <c r="RZ10" s="189"/>
      <c r="SA10" s="189"/>
      <c r="SB10" s="189"/>
      <c r="SC10" s="189"/>
      <c r="SD10" s="189"/>
      <c r="SE10" s="189"/>
      <c r="SF10" s="189"/>
      <c r="SG10" s="189"/>
      <c r="SH10" s="189"/>
      <c r="SI10" s="189"/>
      <c r="SJ10" s="189"/>
      <c r="SK10" s="189"/>
      <c r="SL10" s="189"/>
      <c r="SM10" s="189"/>
      <c r="SN10" s="189"/>
      <c r="SO10" s="189"/>
      <c r="SP10" s="189"/>
      <c r="SQ10" s="189"/>
      <c r="SR10" s="189"/>
      <c r="SS10" s="189"/>
      <c r="ST10" s="189"/>
      <c r="SU10" s="189"/>
      <c r="SV10" s="189"/>
      <c r="SW10" s="189"/>
      <c r="SX10" s="189"/>
      <c r="SY10" s="189"/>
      <c r="SZ10" s="189"/>
      <c r="TA10" s="189"/>
      <c r="TB10" s="189"/>
      <c r="TC10" s="189"/>
      <c r="TD10" s="189"/>
      <c r="TE10" s="189"/>
      <c r="TF10" s="189"/>
      <c r="TG10" s="189"/>
      <c r="TH10" s="189"/>
      <c r="TI10" s="189"/>
      <c r="TJ10" s="189"/>
      <c r="TK10" s="189"/>
      <c r="TL10" s="189"/>
      <c r="TM10" s="189"/>
      <c r="TN10" s="189"/>
      <c r="TO10" s="189"/>
      <c r="TP10" s="189"/>
      <c r="TQ10" s="189"/>
      <c r="TR10" s="189"/>
      <c r="TS10" s="189"/>
      <c r="TT10" s="189"/>
      <c r="TU10" s="189"/>
      <c r="TV10" s="189"/>
      <c r="TW10" s="189"/>
      <c r="TX10" s="189"/>
      <c r="TY10" s="189"/>
      <c r="TZ10" s="189"/>
      <c r="UA10" s="189"/>
      <c r="UB10" s="189"/>
      <c r="UC10" s="189"/>
      <c r="UD10" s="189"/>
      <c r="UE10" s="189"/>
      <c r="UF10" s="189"/>
      <c r="UG10" s="189"/>
      <c r="UH10" s="189"/>
      <c r="UI10" s="189"/>
      <c r="UJ10" s="189"/>
      <c r="UK10" s="189"/>
      <c r="UL10" s="189"/>
      <c r="UM10" s="189"/>
      <c r="UN10" s="189"/>
      <c r="UO10" s="189"/>
      <c r="UP10" s="189"/>
      <c r="UQ10" s="189"/>
      <c r="UR10" s="189"/>
      <c r="US10" s="189"/>
      <c r="UT10" s="189"/>
      <c r="UU10" s="189"/>
      <c r="UV10" s="189"/>
      <c r="UW10" s="189"/>
      <c r="UX10" s="189"/>
      <c r="UY10" s="189"/>
      <c r="UZ10" s="189"/>
      <c r="VA10" s="189"/>
      <c r="VB10" s="189"/>
      <c r="VC10" s="189"/>
      <c r="VD10" s="189"/>
      <c r="VE10" s="189"/>
      <c r="VF10" s="189"/>
      <c r="VG10" s="189"/>
      <c r="VH10" s="189"/>
      <c r="VI10" s="189"/>
      <c r="VJ10" s="189"/>
      <c r="VK10" s="189"/>
      <c r="VL10" s="189"/>
      <c r="VM10" s="189"/>
      <c r="VN10" s="189"/>
      <c r="VO10" s="189"/>
      <c r="VP10" s="189"/>
      <c r="VQ10" s="189"/>
      <c r="VR10" s="189"/>
      <c r="VS10" s="189"/>
      <c r="VT10" s="189"/>
      <c r="VU10" s="189"/>
      <c r="VV10" s="189"/>
      <c r="VW10" s="189"/>
      <c r="VX10" s="189"/>
      <c r="VY10" s="189"/>
      <c r="VZ10" s="189"/>
      <c r="WA10" s="189"/>
      <c r="WB10" s="189"/>
      <c r="WC10" s="189"/>
      <c r="WD10" s="189"/>
      <c r="WE10" s="189"/>
      <c r="WF10" s="189"/>
      <c r="WG10" s="189"/>
      <c r="WH10" s="189"/>
      <c r="WI10" s="189"/>
      <c r="WJ10" s="189"/>
      <c r="WK10" s="189"/>
      <c r="WL10" s="189"/>
      <c r="WM10" s="189"/>
      <c r="WN10" s="189"/>
      <c r="WO10" s="189"/>
      <c r="WP10" s="189"/>
      <c r="WQ10" s="189"/>
      <c r="WR10" s="189"/>
      <c r="WS10" s="189"/>
      <c r="WT10" s="189"/>
      <c r="WU10" s="189"/>
      <c r="WV10" s="189"/>
      <c r="WW10" s="189"/>
      <c r="WX10" s="189"/>
      <c r="WY10" s="189"/>
      <c r="WZ10" s="189"/>
      <c r="XA10" s="189"/>
      <c r="XB10" s="189"/>
      <c r="XC10" s="189"/>
      <c r="XD10" s="189"/>
      <c r="XE10" s="189"/>
      <c r="XF10" s="189"/>
      <c r="XG10" s="189"/>
      <c r="XH10" s="189"/>
      <c r="XI10" s="189"/>
      <c r="XJ10" s="189"/>
      <c r="XK10" s="189"/>
      <c r="XL10" s="189"/>
      <c r="XM10" s="189"/>
      <c r="XN10" s="189"/>
      <c r="XO10" s="189"/>
      <c r="XP10" s="189"/>
      <c r="XQ10" s="189"/>
      <c r="XR10" s="189"/>
      <c r="XS10" s="189"/>
      <c r="XT10" s="189"/>
      <c r="XU10" s="189"/>
      <c r="XV10" s="189"/>
      <c r="XW10" s="189"/>
      <c r="XX10" s="189"/>
      <c r="XY10" s="189"/>
      <c r="XZ10" s="189"/>
      <c r="YA10" s="189"/>
      <c r="YB10" s="189"/>
      <c r="YC10" s="189"/>
      <c r="YD10" s="189"/>
      <c r="YE10" s="189"/>
      <c r="YF10" s="189"/>
      <c r="YG10" s="189"/>
      <c r="YH10" s="189"/>
      <c r="YI10" s="189"/>
      <c r="YJ10" s="189"/>
      <c r="YK10" s="189"/>
      <c r="YL10" s="189"/>
      <c r="YM10" s="189"/>
      <c r="YN10" s="189"/>
      <c r="YO10" s="189"/>
      <c r="YP10" s="189"/>
      <c r="YQ10" s="189"/>
      <c r="YR10" s="189"/>
      <c r="YS10" s="189"/>
      <c r="YT10" s="189"/>
      <c r="YU10" s="189"/>
      <c r="YV10" s="189"/>
      <c r="YW10" s="189"/>
      <c r="YX10" s="189"/>
      <c r="YY10" s="189"/>
      <c r="YZ10" s="189"/>
      <c r="ZA10" s="189"/>
      <c r="ZB10" s="189"/>
      <c r="ZC10" s="189"/>
      <c r="ZD10" s="189"/>
      <c r="ZE10" s="189"/>
      <c r="ZF10" s="189"/>
      <c r="ZG10" s="189"/>
      <c r="ZH10" s="189"/>
      <c r="ZI10" s="189"/>
      <c r="ZJ10" s="189"/>
      <c r="ZK10" s="189"/>
      <c r="ZL10" s="189"/>
      <c r="ZM10" s="189"/>
      <c r="ZN10" s="189"/>
      <c r="ZO10" s="189"/>
      <c r="ZP10" s="189"/>
      <c r="ZQ10" s="189"/>
      <c r="ZR10" s="189"/>
      <c r="ZS10" s="189"/>
      <c r="ZT10" s="189"/>
      <c r="ZU10" s="189"/>
      <c r="ZV10" s="189"/>
      <c r="ZW10" s="189"/>
      <c r="ZX10" s="189"/>
      <c r="ZY10" s="189"/>
      <c r="ZZ10" s="189"/>
      <c r="AAA10" s="189"/>
      <c r="AAB10" s="189"/>
      <c r="AAC10" s="189"/>
      <c r="AAD10" s="189"/>
      <c r="AAE10" s="189"/>
      <c r="AAF10" s="189"/>
      <c r="AAG10" s="189"/>
      <c r="AAH10" s="189"/>
      <c r="AAI10" s="189"/>
      <c r="AAJ10" s="189"/>
      <c r="AAK10" s="189"/>
      <c r="AAL10" s="189"/>
      <c r="AAM10" s="189"/>
      <c r="AAN10" s="189"/>
      <c r="AAO10" s="189"/>
      <c r="AAP10" s="189"/>
      <c r="AAQ10" s="189"/>
      <c r="AAR10" s="189"/>
      <c r="AAS10" s="189"/>
      <c r="AAT10" s="189"/>
      <c r="AAU10" s="189"/>
      <c r="AAV10" s="189"/>
      <c r="AAW10" s="189"/>
      <c r="AAX10" s="189"/>
      <c r="AAY10" s="189"/>
      <c r="AAZ10" s="189"/>
      <c r="ABA10" s="189"/>
      <c r="ABB10" s="189"/>
      <c r="ABC10" s="189"/>
      <c r="ABD10" s="189"/>
      <c r="ABE10" s="189"/>
      <c r="ABF10" s="189"/>
      <c r="ABG10" s="189"/>
      <c r="ABH10" s="189"/>
      <c r="ABI10" s="189"/>
      <c r="ABJ10" s="189"/>
      <c r="ABK10" s="189"/>
      <c r="ABL10" s="189"/>
      <c r="ABM10" s="189"/>
      <c r="ABN10" s="189"/>
      <c r="ABO10" s="189"/>
      <c r="ABP10" s="189"/>
      <c r="ABQ10" s="189"/>
      <c r="ABR10" s="189"/>
      <c r="ABS10" s="189"/>
      <c r="ABT10" s="189"/>
      <c r="ABU10" s="189"/>
      <c r="ABV10" s="189"/>
      <c r="ABW10" s="189"/>
      <c r="ABX10" s="189"/>
      <c r="ABY10" s="189"/>
      <c r="ABZ10" s="189"/>
      <c r="ACA10" s="189"/>
      <c r="ACB10" s="189"/>
      <c r="ACC10" s="189"/>
      <c r="ACD10" s="189"/>
      <c r="ACE10" s="189"/>
      <c r="ACF10" s="189"/>
      <c r="ACG10" s="189"/>
      <c r="ACH10" s="189"/>
      <c r="ACI10" s="189"/>
      <c r="ACJ10" s="189"/>
      <c r="ACK10" s="189"/>
      <c r="ACL10" s="189"/>
      <c r="ACM10" s="189"/>
      <c r="ACN10" s="189"/>
      <c r="ACO10" s="189"/>
      <c r="ACP10" s="189"/>
      <c r="ACQ10" s="189"/>
      <c r="ACR10" s="189"/>
      <c r="ACS10" s="189"/>
      <c r="ACT10" s="189"/>
      <c r="ACU10" s="189"/>
      <c r="ACV10" s="189"/>
      <c r="ACW10" s="189"/>
      <c r="ACX10" s="189"/>
      <c r="ACY10" s="189"/>
      <c r="ACZ10" s="189"/>
      <c r="ADA10" s="189"/>
      <c r="ADB10" s="189"/>
      <c r="ADC10" s="189"/>
      <c r="ADD10" s="189"/>
      <c r="ADE10" s="189"/>
      <c r="ADF10" s="189"/>
      <c r="ADG10" s="189"/>
      <c r="ADH10" s="189"/>
      <c r="ADI10" s="189"/>
      <c r="ADJ10" s="189"/>
      <c r="ADK10" s="189"/>
      <c r="ADL10" s="189"/>
      <c r="ADM10" s="189"/>
      <c r="ADN10" s="189"/>
      <c r="ADO10" s="189"/>
      <c r="ADP10" s="189"/>
      <c r="ADQ10" s="189"/>
      <c r="ADR10" s="189"/>
      <c r="ADS10" s="189"/>
      <c r="ADT10" s="189"/>
      <c r="ADU10" s="189"/>
      <c r="ADV10" s="189"/>
      <c r="ADW10" s="189"/>
      <c r="ADX10" s="189"/>
      <c r="ADY10" s="189"/>
      <c r="ADZ10" s="189"/>
      <c r="AEA10" s="189"/>
      <c r="AEB10" s="189"/>
      <c r="AEC10" s="189"/>
      <c r="AED10" s="189"/>
      <c r="AEE10" s="189"/>
      <c r="AEF10" s="189"/>
      <c r="AEG10" s="189"/>
      <c r="AEH10" s="189"/>
      <c r="AEI10" s="189"/>
      <c r="AEJ10" s="189"/>
      <c r="AEK10" s="189"/>
      <c r="AEL10" s="189"/>
      <c r="AEM10" s="189"/>
      <c r="AEN10" s="189"/>
      <c r="AEO10" s="189"/>
      <c r="AEP10" s="189"/>
      <c r="AEQ10" s="189"/>
      <c r="AER10" s="189"/>
      <c r="AES10" s="189"/>
      <c r="AET10" s="189"/>
      <c r="AEU10" s="189"/>
      <c r="AEV10" s="189"/>
      <c r="AEW10" s="189"/>
      <c r="AEX10" s="189"/>
      <c r="AEY10" s="189"/>
      <c r="AEZ10" s="189"/>
      <c r="AFA10" s="189"/>
      <c r="AFB10" s="189"/>
      <c r="AFC10" s="189"/>
      <c r="AFD10" s="189"/>
      <c r="AFE10" s="189"/>
      <c r="AFF10" s="189"/>
      <c r="AFG10" s="189"/>
      <c r="AFH10" s="189"/>
      <c r="AFI10" s="189"/>
      <c r="AFJ10" s="189"/>
      <c r="AFK10" s="189"/>
      <c r="AFL10" s="189"/>
      <c r="AFM10" s="189"/>
      <c r="AFN10" s="189"/>
      <c r="AFO10" s="189"/>
      <c r="AFP10" s="189"/>
      <c r="AFQ10" s="189"/>
      <c r="AFR10" s="189"/>
      <c r="AFS10" s="189"/>
      <c r="AFT10" s="189"/>
      <c r="AFU10" s="189"/>
      <c r="AFV10" s="189"/>
      <c r="AFW10" s="189"/>
      <c r="AFX10" s="189"/>
      <c r="AFY10" s="189"/>
      <c r="AFZ10" s="189"/>
      <c r="AGA10" s="189"/>
      <c r="AGB10" s="189"/>
      <c r="AGC10" s="189"/>
      <c r="AGD10" s="189"/>
      <c r="AGE10" s="189"/>
      <c r="AGF10" s="189"/>
      <c r="AGG10" s="189"/>
      <c r="AGH10" s="189"/>
      <c r="AGI10" s="189"/>
      <c r="AGJ10" s="189"/>
      <c r="AGK10" s="189"/>
      <c r="AGL10" s="189"/>
      <c r="AGM10" s="189"/>
      <c r="AGN10" s="189"/>
      <c r="AGO10" s="189"/>
      <c r="AGP10" s="189"/>
      <c r="AGQ10" s="189"/>
      <c r="AGR10" s="189"/>
      <c r="AGS10" s="189"/>
      <c r="AGT10" s="189"/>
      <c r="AGU10" s="189"/>
      <c r="AGV10" s="189"/>
      <c r="AGW10" s="189"/>
      <c r="AGX10" s="189"/>
      <c r="AGY10" s="189"/>
      <c r="AGZ10" s="189"/>
      <c r="AHA10" s="189"/>
      <c r="AHB10" s="189"/>
      <c r="AHC10" s="189"/>
      <c r="AHD10" s="189"/>
      <c r="AHE10" s="189"/>
      <c r="AHF10" s="189"/>
      <c r="AHG10" s="189"/>
      <c r="AHH10" s="189"/>
      <c r="AHI10" s="189"/>
      <c r="AHJ10" s="189"/>
      <c r="AHK10" s="189"/>
      <c r="AHL10" s="189"/>
      <c r="AHM10" s="189"/>
      <c r="AHN10" s="189"/>
      <c r="AHO10" s="189"/>
      <c r="AHP10" s="189"/>
      <c r="AHQ10" s="189"/>
      <c r="AHR10" s="189"/>
      <c r="AHS10" s="189"/>
      <c r="AHT10" s="189"/>
      <c r="AHU10" s="189"/>
      <c r="AHV10" s="189"/>
      <c r="AHW10" s="189"/>
      <c r="AHX10" s="189"/>
      <c r="AHY10" s="189"/>
      <c r="AHZ10" s="189"/>
      <c r="AIA10" s="189"/>
      <c r="AIB10" s="189"/>
      <c r="AIC10" s="189"/>
      <c r="AID10" s="189"/>
      <c r="AIE10" s="189"/>
      <c r="AIF10" s="189"/>
      <c r="AIG10" s="189"/>
      <c r="AIH10" s="189"/>
      <c r="AII10" s="189"/>
      <c r="AIJ10" s="189"/>
      <c r="AIK10" s="189"/>
      <c r="AIL10" s="189"/>
      <c r="AIM10" s="189"/>
      <c r="AIN10" s="189"/>
      <c r="AIO10" s="189"/>
      <c r="AIP10" s="189"/>
      <c r="AIQ10" s="189"/>
      <c r="AIR10" s="189"/>
      <c r="AIS10" s="189"/>
      <c r="AIT10" s="189"/>
      <c r="AIU10" s="189"/>
      <c r="AIV10" s="189"/>
      <c r="AIW10" s="189"/>
      <c r="AIX10" s="189"/>
      <c r="AIY10" s="189"/>
      <c r="AIZ10" s="189"/>
      <c r="AJA10" s="189"/>
      <c r="AJB10" s="189"/>
      <c r="AJC10" s="189"/>
      <c r="AJD10" s="189"/>
      <c r="AJE10" s="189"/>
      <c r="AJF10" s="189"/>
      <c r="AJG10" s="189"/>
      <c r="AJH10" s="189"/>
      <c r="AJI10" s="189"/>
      <c r="AJJ10" s="189"/>
      <c r="AJK10" s="189"/>
      <c r="AJL10" s="189"/>
      <c r="AJM10" s="189"/>
      <c r="AJN10" s="189"/>
      <c r="AJO10" s="189"/>
      <c r="AJP10" s="189"/>
      <c r="AJQ10" s="189"/>
      <c r="AJR10" s="189"/>
      <c r="AJS10" s="189"/>
      <c r="AJT10" s="189"/>
      <c r="AJU10" s="189"/>
      <c r="AJV10" s="189"/>
      <c r="AJW10" s="189"/>
      <c r="AJX10" s="189"/>
      <c r="AJY10" s="189"/>
      <c r="AJZ10" s="189"/>
      <c r="AKA10" s="189"/>
      <c r="AKB10" s="189"/>
      <c r="AKC10" s="189"/>
      <c r="AKD10" s="189"/>
      <c r="AKE10" s="189"/>
      <c r="AKF10" s="189"/>
      <c r="AKG10" s="189"/>
      <c r="AKH10" s="189"/>
      <c r="AKI10" s="189"/>
      <c r="AKJ10" s="189"/>
      <c r="AKK10" s="189"/>
      <c r="AKL10" s="189"/>
      <c r="AKM10" s="189"/>
      <c r="AKN10" s="189"/>
      <c r="AKO10" s="189"/>
      <c r="AKP10" s="189"/>
      <c r="AKQ10" s="189"/>
      <c r="AKR10" s="189"/>
      <c r="AKS10" s="189"/>
      <c r="AKT10" s="189"/>
      <c r="AKU10" s="189"/>
      <c r="AKV10" s="189"/>
      <c r="AKW10" s="189"/>
      <c r="AKX10" s="189"/>
      <c r="AKY10" s="189"/>
      <c r="AKZ10" s="189"/>
      <c r="ALA10" s="189"/>
      <c r="ALB10" s="189"/>
      <c r="ALC10" s="189"/>
      <c r="ALD10" s="189"/>
      <c r="ALE10" s="189"/>
      <c r="ALF10" s="189"/>
      <c r="ALG10" s="189"/>
      <c r="ALH10" s="189"/>
      <c r="ALI10" s="189"/>
      <c r="ALJ10" s="189"/>
      <c r="ALK10" s="189"/>
      <c r="ALL10" s="189"/>
      <c r="ALM10" s="189"/>
      <c r="ALN10" s="189"/>
      <c r="ALO10" s="189"/>
      <c r="ALP10" s="189"/>
      <c r="ALQ10" s="189"/>
      <c r="ALR10" s="189"/>
      <c r="ALS10" s="189"/>
      <c r="ALT10" s="189"/>
      <c r="ALU10" s="189"/>
      <c r="ALV10" s="189"/>
      <c r="ALW10" s="189"/>
      <c r="ALX10" s="189"/>
      <c r="ALY10" s="189"/>
      <c r="ALZ10" s="189"/>
      <c r="AMA10" s="189"/>
      <c r="AMB10" s="189"/>
      <c r="AMC10" s="189"/>
      <c r="AMD10" s="189"/>
      <c r="AME10" s="189"/>
      <c r="AMF10" s="189"/>
      <c r="AMG10" s="189"/>
      <c r="AMH10" s="189"/>
      <c r="AMI10" s="189"/>
      <c r="AMJ10" s="189"/>
      <c r="AMK10" s="189"/>
      <c r="AML10" s="189"/>
      <c r="AMM10" s="189"/>
      <c r="AMN10" s="189"/>
      <c r="AMO10" s="189"/>
      <c r="AMP10" s="189"/>
      <c r="AMQ10" s="189"/>
      <c r="AMR10" s="189"/>
      <c r="AMS10" s="189"/>
      <c r="AMT10" s="189"/>
      <c r="AMU10" s="189"/>
      <c r="AMV10" s="189"/>
      <c r="AMW10" s="189"/>
      <c r="AMX10" s="189"/>
      <c r="AMY10" s="189"/>
      <c r="AMZ10" s="189"/>
      <c r="ANA10" s="189"/>
      <c r="ANB10" s="189"/>
      <c r="ANC10" s="189"/>
      <c r="AND10" s="189"/>
      <c r="ANE10" s="189"/>
      <c r="ANF10" s="189"/>
      <c r="ANG10" s="189"/>
      <c r="ANH10" s="189"/>
      <c r="ANI10" s="189"/>
      <c r="ANJ10" s="189"/>
      <c r="ANK10" s="189"/>
      <c r="ANL10" s="189"/>
      <c r="ANM10" s="189"/>
      <c r="ANN10" s="189"/>
      <c r="ANO10" s="189"/>
      <c r="ANP10" s="189"/>
      <c r="ANQ10" s="189"/>
      <c r="ANR10" s="189"/>
      <c r="ANS10" s="189"/>
      <c r="ANT10" s="189"/>
      <c r="ANU10" s="189"/>
      <c r="ANV10" s="189"/>
      <c r="ANW10" s="189"/>
      <c r="ANX10" s="189"/>
      <c r="ANY10" s="189"/>
      <c r="ANZ10" s="189"/>
      <c r="AOA10" s="189"/>
      <c r="AOB10" s="189"/>
      <c r="AOC10" s="189"/>
      <c r="AOD10" s="189"/>
      <c r="AOE10" s="189"/>
      <c r="AOF10" s="189"/>
      <c r="AOG10" s="189"/>
      <c r="AOH10" s="189"/>
      <c r="AOI10" s="189"/>
      <c r="AOJ10" s="189"/>
      <c r="AOK10" s="189"/>
      <c r="AOL10" s="189"/>
      <c r="AOM10" s="189"/>
      <c r="AON10" s="189"/>
      <c r="AOO10" s="189"/>
      <c r="AOP10" s="189"/>
      <c r="AOQ10" s="189"/>
      <c r="AOR10" s="189"/>
      <c r="AOS10" s="189"/>
      <c r="AOT10" s="189"/>
      <c r="AOU10" s="189"/>
      <c r="AOV10" s="189"/>
      <c r="AOW10" s="189"/>
      <c r="AOX10" s="189"/>
      <c r="AOY10" s="189"/>
      <c r="AOZ10" s="189"/>
      <c r="APA10" s="189"/>
      <c r="APB10" s="189"/>
      <c r="APC10" s="189"/>
      <c r="APD10" s="189"/>
      <c r="APE10" s="189"/>
      <c r="APF10" s="189"/>
      <c r="APG10" s="189"/>
      <c r="APH10" s="189"/>
      <c r="API10" s="189"/>
      <c r="APJ10" s="189"/>
      <c r="APK10" s="189"/>
      <c r="APL10" s="189"/>
      <c r="APM10" s="189"/>
      <c r="APN10" s="189"/>
      <c r="APO10" s="189"/>
      <c r="APP10" s="189"/>
      <c r="APQ10" s="189"/>
      <c r="APR10" s="189"/>
      <c r="APS10" s="189"/>
      <c r="APT10" s="189"/>
      <c r="APU10" s="189"/>
      <c r="APV10" s="189"/>
      <c r="APW10" s="189"/>
      <c r="APX10" s="189"/>
      <c r="APY10" s="189"/>
      <c r="APZ10" s="189"/>
      <c r="AQA10" s="189"/>
      <c r="AQB10" s="189"/>
      <c r="AQC10" s="189"/>
      <c r="AQD10" s="189"/>
      <c r="AQE10" s="189"/>
      <c r="AQF10" s="189"/>
      <c r="AQG10" s="189"/>
      <c r="AQH10" s="189"/>
      <c r="AQI10" s="189"/>
      <c r="AQJ10" s="189"/>
      <c r="AQK10" s="189"/>
      <c r="AQL10" s="189"/>
      <c r="AQM10" s="189"/>
      <c r="AQN10" s="189"/>
      <c r="AQO10" s="189"/>
      <c r="AQP10" s="189"/>
      <c r="AQQ10" s="189"/>
      <c r="AQR10" s="189"/>
      <c r="AQS10" s="189"/>
      <c r="AQT10" s="189"/>
      <c r="AQU10" s="189"/>
      <c r="AQV10" s="189"/>
      <c r="AQW10" s="189"/>
      <c r="AQX10" s="189"/>
      <c r="AQY10" s="189"/>
      <c r="AQZ10" s="189"/>
      <c r="ARA10" s="189"/>
      <c r="ARB10" s="189"/>
      <c r="ARC10" s="189"/>
      <c r="ARD10" s="189"/>
      <c r="ARE10" s="189"/>
      <c r="ARF10" s="189"/>
      <c r="ARG10" s="189"/>
      <c r="ARH10" s="189"/>
      <c r="ARI10" s="189"/>
      <c r="ARJ10" s="189"/>
      <c r="ARK10" s="189"/>
      <c r="ARL10" s="189"/>
      <c r="ARM10" s="189"/>
      <c r="ARN10" s="189"/>
      <c r="ARO10" s="189"/>
      <c r="ARP10" s="189"/>
      <c r="ARQ10" s="189"/>
      <c r="ARR10" s="189"/>
      <c r="ARS10" s="189"/>
      <c r="ART10" s="189"/>
      <c r="ARU10" s="189"/>
      <c r="ARV10" s="189"/>
      <c r="ARW10" s="189"/>
      <c r="ARX10" s="189"/>
      <c r="ARY10" s="189"/>
      <c r="ARZ10" s="189"/>
      <c r="ASA10" s="189"/>
      <c r="ASB10" s="189"/>
      <c r="ASC10" s="189"/>
      <c r="ASD10" s="189"/>
      <c r="ASE10" s="189"/>
      <c r="ASF10" s="189"/>
      <c r="ASG10" s="189"/>
      <c r="ASH10" s="189"/>
      <c r="ASI10" s="189"/>
      <c r="ASJ10" s="189"/>
      <c r="ASK10" s="189"/>
      <c r="ASL10" s="189"/>
      <c r="ASM10" s="189"/>
      <c r="ASN10" s="189"/>
      <c r="ASO10" s="189"/>
      <c r="ASP10" s="189"/>
      <c r="ASQ10" s="189"/>
      <c r="ASR10" s="189"/>
      <c r="ASS10" s="189"/>
      <c r="AST10" s="189"/>
      <c r="ASU10" s="189"/>
      <c r="ASV10" s="189"/>
      <c r="ASW10" s="189"/>
      <c r="ASX10" s="189"/>
      <c r="ASY10" s="189"/>
      <c r="ASZ10" s="189"/>
      <c r="ATA10" s="189"/>
      <c r="ATB10" s="189"/>
      <c r="ATC10" s="189"/>
      <c r="ATD10" s="189"/>
      <c r="ATE10" s="189"/>
      <c r="ATF10" s="189"/>
      <c r="ATG10" s="189"/>
      <c r="ATH10" s="189"/>
      <c r="ATI10" s="189"/>
      <c r="ATJ10" s="189"/>
      <c r="ATK10" s="189"/>
      <c r="ATL10" s="189"/>
      <c r="ATM10" s="189"/>
      <c r="ATN10" s="189"/>
      <c r="ATO10" s="189"/>
      <c r="ATP10" s="189"/>
      <c r="ATQ10" s="189"/>
      <c r="ATR10" s="189"/>
      <c r="ATS10" s="189"/>
      <c r="ATT10" s="189"/>
      <c r="ATU10" s="189"/>
      <c r="ATV10" s="189"/>
      <c r="ATW10" s="189"/>
      <c r="ATX10" s="189"/>
      <c r="ATY10" s="189"/>
      <c r="ATZ10" s="189"/>
      <c r="AUA10" s="189"/>
      <c r="AUB10" s="189"/>
      <c r="AUC10" s="189"/>
      <c r="AUD10" s="189"/>
      <c r="AUE10" s="189"/>
      <c r="AUF10" s="189"/>
      <c r="AUG10" s="189"/>
      <c r="AUH10" s="189"/>
      <c r="AUI10" s="189"/>
      <c r="AUJ10" s="189"/>
      <c r="AUK10" s="189"/>
      <c r="AUL10" s="189"/>
      <c r="AUM10" s="189"/>
      <c r="AUN10" s="189"/>
      <c r="AUO10" s="189"/>
      <c r="AUP10" s="189"/>
      <c r="AUQ10" s="189"/>
      <c r="AUR10" s="189"/>
      <c r="AUS10" s="189"/>
      <c r="AUT10" s="189"/>
      <c r="AUU10" s="189"/>
      <c r="AUV10" s="189"/>
      <c r="AUW10" s="189"/>
      <c r="AUX10" s="189"/>
      <c r="AUY10" s="189"/>
      <c r="AUZ10" s="189"/>
      <c r="AVA10" s="189"/>
      <c r="AVB10" s="189"/>
      <c r="AVC10" s="189"/>
      <c r="AVD10" s="189"/>
      <c r="AVE10" s="189"/>
      <c r="AVF10" s="189"/>
      <c r="AVG10" s="189"/>
      <c r="AVH10" s="189"/>
      <c r="AVI10" s="189"/>
      <c r="AVJ10" s="189"/>
      <c r="AVK10" s="189"/>
      <c r="AVL10" s="189"/>
      <c r="AVM10" s="189"/>
      <c r="AVN10" s="189"/>
      <c r="AVO10" s="189"/>
      <c r="AVP10" s="189"/>
      <c r="AVQ10" s="189"/>
      <c r="AVR10" s="189"/>
      <c r="AVS10" s="189"/>
      <c r="AVT10" s="189"/>
      <c r="AVU10" s="189"/>
      <c r="AVV10" s="189"/>
      <c r="AVW10" s="189"/>
      <c r="AVX10" s="189"/>
      <c r="AVY10" s="189"/>
      <c r="AVZ10" s="189"/>
      <c r="AWA10" s="189"/>
      <c r="AWB10" s="189"/>
      <c r="AWC10" s="189"/>
      <c r="AWD10" s="189"/>
      <c r="AWE10" s="189"/>
      <c r="AWF10" s="189"/>
      <c r="AWG10" s="189"/>
      <c r="AWH10" s="189"/>
      <c r="AWI10" s="189"/>
      <c r="AWJ10" s="189"/>
      <c r="AWK10" s="189"/>
      <c r="AWL10" s="189"/>
      <c r="AWM10" s="189"/>
      <c r="AWN10" s="189"/>
      <c r="AWO10" s="189"/>
      <c r="AWP10" s="189"/>
      <c r="AWQ10" s="189"/>
      <c r="AWR10" s="189"/>
      <c r="AWS10" s="189"/>
      <c r="AWT10" s="189"/>
      <c r="AWU10" s="189"/>
      <c r="AWV10" s="189"/>
      <c r="AWW10" s="189"/>
      <c r="AWX10" s="189"/>
      <c r="AWY10" s="189"/>
      <c r="AWZ10" s="189"/>
      <c r="AXA10" s="189"/>
      <c r="AXB10" s="189"/>
      <c r="AXC10" s="189"/>
      <c r="AXD10" s="189"/>
      <c r="AXE10" s="189"/>
      <c r="AXF10" s="189"/>
      <c r="AXG10" s="189"/>
      <c r="AXH10" s="189"/>
      <c r="AXI10" s="189"/>
      <c r="AXJ10" s="189"/>
      <c r="AXK10" s="189"/>
      <c r="AXL10" s="189"/>
      <c r="AXM10" s="189"/>
      <c r="AXN10" s="189"/>
      <c r="AXO10" s="189"/>
      <c r="AXP10" s="189"/>
      <c r="AXQ10" s="189"/>
      <c r="AXR10" s="189"/>
      <c r="AXS10" s="189"/>
      <c r="AXT10" s="189"/>
      <c r="AXU10" s="189"/>
      <c r="AXV10" s="189"/>
      <c r="AXW10" s="189"/>
      <c r="AXX10" s="189"/>
      <c r="AXY10" s="189"/>
      <c r="AXZ10" s="189"/>
      <c r="AYA10" s="189"/>
      <c r="AYB10" s="189"/>
      <c r="AYC10" s="189"/>
      <c r="AYD10" s="189"/>
      <c r="AYE10" s="189"/>
      <c r="AYF10" s="189"/>
      <c r="AYG10" s="189"/>
      <c r="AYH10" s="189"/>
      <c r="AYI10" s="189"/>
      <c r="AYJ10" s="189"/>
      <c r="AYK10" s="189"/>
      <c r="AYL10" s="189"/>
      <c r="AYM10" s="189"/>
      <c r="AYN10" s="189"/>
      <c r="AYO10" s="189"/>
      <c r="AYP10" s="189"/>
      <c r="AYQ10" s="189"/>
      <c r="AYR10" s="189"/>
      <c r="AYS10" s="189"/>
      <c r="AYT10" s="189"/>
      <c r="AYU10" s="189"/>
      <c r="AYV10" s="189"/>
      <c r="AYW10" s="189"/>
      <c r="AYX10" s="189"/>
      <c r="AYY10" s="189"/>
      <c r="AYZ10" s="189"/>
      <c r="AZA10" s="189"/>
      <c r="AZB10" s="189"/>
      <c r="AZC10" s="189"/>
      <c r="AZD10" s="189"/>
      <c r="AZE10" s="189"/>
      <c r="AZF10" s="189"/>
      <c r="AZG10" s="189"/>
      <c r="AZH10" s="189"/>
      <c r="AZI10" s="189"/>
      <c r="AZJ10" s="189"/>
      <c r="AZK10" s="189"/>
      <c r="AZL10" s="189"/>
      <c r="AZM10" s="189"/>
      <c r="AZN10" s="189"/>
      <c r="AZO10" s="189"/>
      <c r="AZP10" s="189"/>
      <c r="AZQ10" s="189"/>
      <c r="AZR10" s="189"/>
      <c r="AZS10" s="189"/>
      <c r="AZT10" s="189"/>
      <c r="AZU10" s="189"/>
      <c r="AZV10" s="189"/>
      <c r="AZW10" s="189"/>
      <c r="AZX10" s="189"/>
      <c r="AZY10" s="189"/>
      <c r="AZZ10" s="189"/>
      <c r="BAA10" s="189"/>
      <c r="BAB10" s="189"/>
      <c r="BAC10" s="189"/>
      <c r="BAD10" s="189"/>
      <c r="BAE10" s="189"/>
      <c r="BAF10" s="189"/>
      <c r="BAG10" s="189"/>
      <c r="BAH10" s="189"/>
      <c r="BAI10" s="189"/>
      <c r="BAJ10" s="189"/>
      <c r="BAK10" s="189"/>
      <c r="BAL10" s="189"/>
      <c r="BAM10" s="189"/>
      <c r="BAN10" s="189"/>
      <c r="BAO10" s="189"/>
      <c r="BAP10" s="189"/>
      <c r="BAQ10" s="189"/>
      <c r="BAR10" s="189"/>
      <c r="BAS10" s="189"/>
      <c r="BAT10" s="189"/>
      <c r="BAU10" s="189"/>
      <c r="BAV10" s="189"/>
      <c r="BAW10" s="189"/>
      <c r="BAX10" s="189"/>
      <c r="BAY10" s="189"/>
      <c r="BAZ10" s="189"/>
      <c r="BBA10" s="189"/>
      <c r="BBB10" s="189"/>
      <c r="BBC10" s="189"/>
      <c r="BBD10" s="189"/>
      <c r="BBE10" s="189"/>
      <c r="BBF10" s="189"/>
      <c r="BBG10" s="189"/>
      <c r="BBH10" s="189"/>
      <c r="BBI10" s="189"/>
      <c r="BBJ10" s="189"/>
      <c r="BBK10" s="189"/>
      <c r="BBL10" s="189"/>
      <c r="BBM10" s="189"/>
      <c r="BBN10" s="189"/>
      <c r="BBO10" s="189"/>
      <c r="BBP10" s="189"/>
      <c r="BBQ10" s="189"/>
      <c r="BBR10" s="189"/>
      <c r="BBS10" s="189"/>
      <c r="BBT10" s="189"/>
      <c r="BBU10" s="189"/>
      <c r="BBV10" s="189"/>
      <c r="BBW10" s="189"/>
      <c r="BBX10" s="189"/>
      <c r="BBY10" s="189"/>
      <c r="BBZ10" s="189"/>
      <c r="BCA10" s="189"/>
      <c r="BCB10" s="189"/>
      <c r="BCC10" s="189"/>
      <c r="BCD10" s="189"/>
      <c r="BCE10" s="189"/>
      <c r="BCF10" s="189"/>
      <c r="BCG10" s="189"/>
      <c r="BCH10" s="189"/>
      <c r="BCI10" s="189"/>
      <c r="BCJ10" s="189"/>
      <c r="BCK10" s="189"/>
      <c r="BCL10" s="189"/>
      <c r="BCM10" s="189"/>
      <c r="BCN10" s="189"/>
      <c r="BCO10" s="189"/>
      <c r="BCP10" s="189"/>
      <c r="BCQ10" s="189"/>
      <c r="BCR10" s="189"/>
      <c r="BCS10" s="189"/>
      <c r="BCT10" s="189"/>
      <c r="BCU10" s="189"/>
      <c r="BCV10" s="189"/>
      <c r="BCW10" s="189"/>
      <c r="BCX10" s="189"/>
      <c r="BCY10" s="189"/>
      <c r="BCZ10" s="189"/>
      <c r="BDA10" s="189"/>
      <c r="BDB10" s="189"/>
      <c r="BDC10" s="189"/>
      <c r="BDD10" s="189"/>
      <c r="BDE10" s="189"/>
      <c r="BDF10" s="189"/>
      <c r="BDG10" s="189"/>
      <c r="BDH10" s="189"/>
      <c r="BDI10" s="189"/>
      <c r="BDJ10" s="189"/>
      <c r="BDK10" s="189"/>
      <c r="BDL10" s="189"/>
      <c r="BDM10" s="189"/>
      <c r="BDN10" s="189"/>
      <c r="BDO10" s="189"/>
      <c r="BDP10" s="189"/>
      <c r="BDQ10" s="189"/>
      <c r="BDR10" s="189"/>
      <c r="BDS10" s="189"/>
      <c r="BDT10" s="189"/>
      <c r="BDU10" s="189"/>
      <c r="BDV10" s="189"/>
      <c r="BDW10" s="189"/>
      <c r="BDX10" s="189"/>
      <c r="BDY10" s="189"/>
      <c r="BDZ10" s="189"/>
      <c r="BEA10" s="189"/>
      <c r="BEB10" s="189"/>
      <c r="BEC10" s="189"/>
      <c r="BED10" s="189"/>
      <c r="BEE10" s="189"/>
      <c r="BEF10" s="189"/>
      <c r="BEG10" s="189"/>
      <c r="BEH10" s="189"/>
      <c r="BEI10" s="189"/>
      <c r="BEJ10" s="189"/>
      <c r="BEK10" s="189"/>
      <c r="BEL10" s="189"/>
      <c r="BEM10" s="189"/>
      <c r="BEN10" s="189"/>
      <c r="BEO10" s="189"/>
      <c r="BEP10" s="189"/>
      <c r="BEQ10" s="189"/>
      <c r="BER10" s="189"/>
      <c r="BES10" s="189"/>
      <c r="BET10" s="189"/>
      <c r="BEU10" s="189"/>
      <c r="BEV10" s="189"/>
      <c r="BEW10" s="189"/>
      <c r="BEX10" s="189"/>
      <c r="BEY10" s="189"/>
      <c r="BEZ10" s="189"/>
      <c r="BFA10" s="189"/>
      <c r="BFB10" s="189"/>
      <c r="BFC10" s="189"/>
      <c r="BFD10" s="189"/>
      <c r="BFE10" s="189"/>
      <c r="BFF10" s="189"/>
      <c r="BFG10" s="189"/>
      <c r="BFH10" s="189"/>
      <c r="BFI10" s="189"/>
      <c r="BFJ10" s="189"/>
      <c r="BFK10" s="189"/>
      <c r="BFL10" s="189"/>
      <c r="BFM10" s="189"/>
      <c r="BFN10" s="189"/>
      <c r="BFO10" s="189"/>
      <c r="BFP10" s="189"/>
      <c r="BFQ10" s="189"/>
      <c r="BFR10" s="189"/>
      <c r="BFS10" s="189"/>
      <c r="BFT10" s="189"/>
      <c r="BFU10" s="189"/>
      <c r="BFV10" s="189"/>
      <c r="BFW10" s="189"/>
      <c r="BFX10" s="189"/>
      <c r="BFY10" s="189"/>
      <c r="BFZ10" s="189"/>
      <c r="BGA10" s="189"/>
      <c r="BGB10" s="189"/>
      <c r="BGC10" s="189"/>
      <c r="BGD10" s="189"/>
      <c r="BGE10" s="189"/>
      <c r="BGF10" s="189"/>
      <c r="BGG10" s="189"/>
      <c r="BGH10" s="189"/>
      <c r="BGI10" s="189"/>
      <c r="BGJ10" s="189"/>
      <c r="BGK10" s="189"/>
      <c r="BGL10" s="189"/>
      <c r="BGM10" s="189"/>
      <c r="BGN10" s="189"/>
      <c r="BGO10" s="189"/>
      <c r="BGP10" s="189"/>
      <c r="BGQ10" s="189"/>
      <c r="BGR10" s="189"/>
      <c r="BGS10" s="189"/>
      <c r="BGT10" s="189"/>
      <c r="BGU10" s="189"/>
      <c r="BGV10" s="189"/>
      <c r="BGW10" s="189"/>
      <c r="BGX10" s="189"/>
      <c r="BGY10" s="189"/>
      <c r="BGZ10" s="189"/>
      <c r="BHA10" s="189"/>
      <c r="BHB10" s="189"/>
      <c r="BHC10" s="189"/>
      <c r="BHD10" s="189"/>
      <c r="BHE10" s="189"/>
      <c r="BHF10" s="189"/>
      <c r="BHG10" s="189"/>
      <c r="BHH10" s="189"/>
      <c r="BHI10" s="189"/>
      <c r="BHJ10" s="189"/>
      <c r="BHK10" s="189"/>
      <c r="BHL10" s="189"/>
      <c r="BHM10" s="189"/>
      <c r="BHN10" s="189"/>
      <c r="BHO10" s="189"/>
      <c r="BHP10" s="189"/>
      <c r="BHQ10" s="189"/>
      <c r="BHR10" s="189"/>
      <c r="BHS10" s="189"/>
      <c r="BHT10" s="189"/>
      <c r="BHU10" s="189"/>
      <c r="BHV10" s="189"/>
      <c r="BHW10" s="189"/>
      <c r="BHX10" s="189"/>
      <c r="BHY10" s="189"/>
      <c r="BHZ10" s="189"/>
      <c r="BIA10" s="189"/>
      <c r="BIB10" s="189"/>
      <c r="BIC10" s="189"/>
      <c r="BID10" s="189"/>
      <c r="BIE10" s="189"/>
      <c r="BIF10" s="189"/>
      <c r="BIG10" s="189"/>
      <c r="BIH10" s="189"/>
      <c r="BII10" s="189"/>
      <c r="BIJ10" s="189"/>
      <c r="BIK10" s="189"/>
      <c r="BIL10" s="189"/>
      <c r="BIM10" s="189"/>
      <c r="BIN10" s="189"/>
      <c r="BIO10" s="189"/>
      <c r="BIP10" s="189"/>
      <c r="BIQ10" s="189"/>
      <c r="BIR10" s="189"/>
      <c r="BIS10" s="189"/>
      <c r="BIT10" s="189"/>
      <c r="BIU10" s="189"/>
      <c r="BIV10" s="189"/>
      <c r="BIW10" s="189"/>
      <c r="BIX10" s="189"/>
      <c r="BIY10" s="189"/>
      <c r="BIZ10" s="189"/>
      <c r="BJA10" s="189"/>
      <c r="BJB10" s="189"/>
      <c r="BJC10" s="189"/>
      <c r="BJD10" s="189"/>
      <c r="BJE10" s="189"/>
      <c r="BJF10" s="189"/>
      <c r="BJG10" s="189"/>
      <c r="BJH10" s="189"/>
      <c r="BJI10" s="189"/>
      <c r="BJJ10" s="189"/>
      <c r="BJK10" s="189"/>
      <c r="BJL10" s="189"/>
      <c r="BJM10" s="189"/>
      <c r="BJN10" s="189"/>
      <c r="BJO10" s="189"/>
      <c r="BJP10" s="189"/>
      <c r="BJQ10" s="189"/>
      <c r="BJR10" s="189"/>
      <c r="BJS10" s="189"/>
      <c r="BJT10" s="189"/>
      <c r="BJU10" s="189"/>
      <c r="BJV10" s="189"/>
      <c r="BJW10" s="189"/>
      <c r="BJX10" s="189"/>
      <c r="BJY10" s="189"/>
      <c r="BJZ10" s="189"/>
      <c r="BKA10" s="189"/>
      <c r="BKB10" s="189"/>
      <c r="BKC10" s="189"/>
      <c r="BKD10" s="189"/>
      <c r="BKE10" s="189"/>
      <c r="BKF10" s="189"/>
      <c r="BKG10" s="189"/>
      <c r="BKH10" s="189"/>
      <c r="BKI10" s="189"/>
      <c r="BKJ10" s="189"/>
      <c r="BKK10" s="189"/>
      <c r="BKL10" s="189"/>
      <c r="BKM10" s="189"/>
      <c r="BKN10" s="189"/>
      <c r="BKO10" s="189"/>
      <c r="BKP10" s="189"/>
      <c r="BKQ10" s="189"/>
      <c r="BKR10" s="189"/>
      <c r="BKS10" s="189"/>
      <c r="BKT10" s="189"/>
      <c r="BKU10" s="189"/>
      <c r="BKV10" s="189"/>
      <c r="BKW10" s="189"/>
      <c r="BKX10" s="189"/>
      <c r="BKY10" s="189"/>
      <c r="BKZ10" s="189"/>
      <c r="BLA10" s="189"/>
      <c r="BLB10" s="189"/>
      <c r="BLC10" s="189"/>
      <c r="BLD10" s="189"/>
      <c r="BLE10" s="189"/>
      <c r="BLF10" s="189"/>
      <c r="BLG10" s="189"/>
      <c r="BLH10" s="189"/>
      <c r="BLI10" s="189"/>
      <c r="BLJ10" s="189"/>
      <c r="BLK10" s="189"/>
      <c r="BLL10" s="189"/>
      <c r="BLM10" s="189"/>
      <c r="BLN10" s="189"/>
      <c r="BLO10" s="189"/>
      <c r="BLP10" s="189"/>
      <c r="BLQ10" s="189"/>
      <c r="BLR10" s="189"/>
      <c r="BLS10" s="189"/>
      <c r="BLT10" s="189"/>
      <c r="BLU10" s="189"/>
      <c r="BLV10" s="90"/>
    </row>
    <row r="11" spans="1:1686" ht="20.100000000000001" customHeight="1" x14ac:dyDescent="0.25">
      <c r="B11" s="96"/>
      <c r="C11" s="217"/>
      <c r="D11" s="217"/>
      <c r="E11" s="217"/>
      <c r="F11" s="213" t="s">
        <v>41</v>
      </c>
      <c r="G11" s="213"/>
      <c r="H11" s="213"/>
      <c r="I11" s="213"/>
      <c r="J11" s="213"/>
      <c r="K11" s="213"/>
      <c r="L11" s="213"/>
      <c r="M11" s="213"/>
      <c r="N11" s="213"/>
      <c r="O11" s="213"/>
      <c r="P11" s="213"/>
      <c r="Q11" s="213"/>
      <c r="R11" s="213"/>
      <c r="S11" s="213"/>
      <c r="T11" s="213"/>
      <c r="U11" s="213"/>
      <c r="V11" s="213"/>
      <c r="W11" s="213"/>
      <c r="X11" s="213"/>
      <c r="Y11" s="213"/>
      <c r="Z11" s="213"/>
      <c r="AA11" s="213"/>
      <c r="AB11" s="213"/>
      <c r="AC11" s="213"/>
      <c r="AD11" s="213"/>
      <c r="AE11" s="213"/>
      <c r="AF11" s="213"/>
      <c r="AG11" s="213"/>
      <c r="AH11" s="213"/>
      <c r="AI11" s="213"/>
      <c r="AJ11" s="213"/>
      <c r="AK11" s="213"/>
      <c r="AL11" s="213"/>
      <c r="AM11" s="213"/>
      <c r="AN11" s="213"/>
      <c r="AO11" s="213"/>
      <c r="AP11" s="213"/>
      <c r="AQ11" s="213"/>
      <c r="AR11" s="213"/>
      <c r="AS11" s="213"/>
      <c r="AT11" s="213"/>
      <c r="AU11" s="213"/>
      <c r="AV11" s="213"/>
      <c r="AW11" s="213"/>
      <c r="AX11" s="213"/>
      <c r="AY11" s="213"/>
      <c r="AZ11" s="213"/>
      <c r="BA11" s="213"/>
      <c r="BB11" s="213"/>
      <c r="BC11" s="213"/>
      <c r="BD11" s="213"/>
      <c r="BE11" s="213"/>
      <c r="BF11" s="213"/>
      <c r="BG11" s="213"/>
      <c r="BH11" s="213"/>
      <c r="BI11" s="213"/>
      <c r="BJ11" s="213"/>
      <c r="BK11" s="213"/>
      <c r="BL11" s="213"/>
      <c r="BM11" s="213"/>
      <c r="BN11" s="213" t="s">
        <v>62</v>
      </c>
      <c r="BO11" s="213"/>
      <c r="BP11" s="213"/>
      <c r="BQ11" s="213"/>
      <c r="BR11" s="213"/>
      <c r="BS11" s="213"/>
      <c r="BT11" s="213"/>
      <c r="BU11" s="213"/>
      <c r="BV11" s="213"/>
      <c r="BW11" s="213"/>
      <c r="BX11" s="213"/>
      <c r="BY11" s="213"/>
      <c r="BZ11" s="213"/>
      <c r="CA11" s="213"/>
      <c r="CB11" s="213"/>
      <c r="CC11" s="213"/>
      <c r="CD11" s="213"/>
      <c r="CE11" s="213"/>
      <c r="CF11" s="213"/>
      <c r="CG11" s="213"/>
      <c r="CH11" s="213"/>
      <c r="CI11" s="213"/>
      <c r="CJ11" s="213"/>
      <c r="CK11" s="213"/>
      <c r="CL11" s="213"/>
      <c r="CM11" s="213"/>
      <c r="CN11" s="213"/>
      <c r="CO11" s="213"/>
      <c r="CP11" s="213"/>
      <c r="CQ11" s="213"/>
      <c r="CR11" s="213"/>
      <c r="CS11" s="213"/>
      <c r="CT11" s="213"/>
      <c r="CU11" s="213"/>
      <c r="CV11" s="213"/>
      <c r="CW11" s="213"/>
      <c r="CX11" s="213"/>
      <c r="CY11" s="213"/>
      <c r="CZ11" s="213"/>
      <c r="DA11" s="213"/>
      <c r="DB11" s="213"/>
      <c r="DC11" s="213"/>
      <c r="DD11" s="213"/>
      <c r="DE11" s="213"/>
      <c r="DF11" s="213"/>
      <c r="DG11" s="213"/>
      <c r="DH11" s="213"/>
      <c r="DI11" s="213"/>
      <c r="DJ11" s="213"/>
      <c r="DK11" s="213"/>
      <c r="DL11" s="213"/>
      <c r="DM11" s="213"/>
      <c r="DN11" s="213"/>
      <c r="DO11" s="213"/>
      <c r="DP11" s="213"/>
      <c r="DQ11" s="213"/>
      <c r="DR11" s="213"/>
      <c r="DS11" s="213"/>
      <c r="DT11" s="213"/>
      <c r="DU11" s="213"/>
      <c r="DV11" s="190" t="s">
        <v>62</v>
      </c>
      <c r="DW11" s="190"/>
      <c r="DX11" s="190"/>
      <c r="DY11" s="190"/>
      <c r="DZ11" s="190"/>
      <c r="EA11" s="190"/>
      <c r="EB11" s="190"/>
      <c r="EC11" s="190"/>
      <c r="ED11" s="190"/>
      <c r="EE11" s="190"/>
      <c r="EF11" s="190"/>
      <c r="EG11" s="190"/>
      <c r="EH11" s="190"/>
      <c r="EI11" s="190"/>
      <c r="EJ11" s="190"/>
      <c r="EK11" s="190"/>
      <c r="EL11" s="190"/>
      <c r="EM11" s="190"/>
      <c r="EN11" s="190"/>
      <c r="EO11" s="190"/>
      <c r="EP11" s="190"/>
      <c r="EQ11" s="190"/>
      <c r="ER11" s="190"/>
      <c r="ES11" s="190"/>
      <c r="ET11" s="190"/>
      <c r="EU11" s="190"/>
      <c r="EV11" s="190"/>
      <c r="EW11" s="190"/>
      <c r="EX11" s="190"/>
      <c r="EY11" s="190"/>
      <c r="EZ11" s="190"/>
      <c r="FA11" s="190"/>
      <c r="FB11" s="190"/>
      <c r="FC11" s="190"/>
      <c r="FD11" s="190"/>
      <c r="FE11" s="190"/>
      <c r="FF11" s="190"/>
      <c r="FG11" s="190"/>
      <c r="FH11" s="190"/>
      <c r="FI11" s="190"/>
      <c r="FJ11" s="190"/>
      <c r="FK11" s="190"/>
      <c r="FL11" s="190"/>
      <c r="FM11" s="190"/>
      <c r="FN11" s="190"/>
      <c r="FO11" s="190"/>
      <c r="FP11" s="190"/>
      <c r="FQ11" s="190"/>
      <c r="FR11" s="190"/>
      <c r="FS11" s="190"/>
      <c r="FT11" s="190"/>
      <c r="FU11" s="190"/>
      <c r="FV11" s="190"/>
      <c r="FW11" s="190"/>
      <c r="FX11" s="190"/>
      <c r="FY11" s="190"/>
      <c r="FZ11" s="190"/>
      <c r="GA11" s="190"/>
      <c r="GB11" s="190"/>
      <c r="GC11" s="190"/>
      <c r="GD11" s="190" t="s">
        <v>63</v>
      </c>
      <c r="GE11" s="190"/>
      <c r="GF11" s="190"/>
      <c r="GG11" s="190"/>
      <c r="GH11" s="190"/>
      <c r="GI11" s="190"/>
      <c r="GJ11" s="190"/>
      <c r="GK11" s="190"/>
      <c r="GL11" s="190"/>
      <c r="GM11" s="190"/>
      <c r="GN11" s="190"/>
      <c r="GO11" s="190"/>
      <c r="GP11" s="190"/>
      <c r="GQ11" s="190"/>
      <c r="GR11" s="190"/>
      <c r="GS11" s="190"/>
      <c r="GT11" s="190"/>
      <c r="GU11" s="190"/>
      <c r="GV11" s="190"/>
      <c r="GW11" s="190"/>
      <c r="GX11" s="190"/>
      <c r="GY11" s="190"/>
      <c r="GZ11" s="190"/>
      <c r="HA11" s="190"/>
      <c r="HB11" s="190"/>
      <c r="HC11" s="190"/>
      <c r="HD11" s="190"/>
      <c r="HE11" s="190"/>
      <c r="HF11" s="190"/>
      <c r="HG11" s="190"/>
      <c r="HH11" s="190"/>
      <c r="HI11" s="190"/>
      <c r="HJ11" s="190"/>
      <c r="HK11" s="190"/>
      <c r="HL11" s="190"/>
      <c r="HM11" s="190"/>
      <c r="HN11" s="190"/>
      <c r="HO11" s="190"/>
      <c r="HP11" s="190"/>
      <c r="HQ11" s="190"/>
      <c r="HR11" s="190"/>
      <c r="HS11" s="190"/>
      <c r="HT11" s="190"/>
      <c r="HU11" s="190"/>
      <c r="HV11" s="190"/>
      <c r="HW11" s="190"/>
      <c r="HX11" s="190"/>
      <c r="HY11" s="190"/>
      <c r="HZ11" s="190"/>
      <c r="IA11" s="190"/>
      <c r="IB11" s="190"/>
      <c r="IC11" s="190"/>
      <c r="ID11" s="190"/>
      <c r="IE11" s="190"/>
      <c r="IF11" s="190"/>
      <c r="IG11" s="190"/>
      <c r="IH11" s="190"/>
      <c r="II11" s="190"/>
      <c r="IJ11" s="190"/>
      <c r="IK11" s="190"/>
      <c r="IL11" s="190" t="s">
        <v>63</v>
      </c>
      <c r="IM11" s="190"/>
      <c r="IN11" s="190"/>
      <c r="IO11" s="190"/>
      <c r="IP11" s="190"/>
      <c r="IQ11" s="190"/>
      <c r="IR11" s="190"/>
      <c r="IS11" s="190"/>
      <c r="IT11" s="190"/>
      <c r="IU11" s="190"/>
      <c r="IV11" s="190"/>
      <c r="IW11" s="190"/>
      <c r="IX11" s="190"/>
      <c r="IY11" s="190"/>
      <c r="IZ11" s="190"/>
      <c r="JA11" s="190"/>
      <c r="JB11" s="190"/>
      <c r="JC11" s="190"/>
      <c r="JD11" s="190"/>
      <c r="JE11" s="190"/>
      <c r="JF11" s="190"/>
      <c r="JG11" s="190"/>
      <c r="JH11" s="190"/>
      <c r="JI11" s="190"/>
      <c r="JJ11" s="190"/>
      <c r="JK11" s="190"/>
      <c r="JL11" s="190"/>
      <c r="JM11" s="190"/>
      <c r="JN11" s="190"/>
      <c r="JO11" s="190"/>
      <c r="JP11" s="190"/>
      <c r="JQ11" s="190"/>
      <c r="JR11" s="190"/>
      <c r="JS11" s="190"/>
      <c r="JT11" s="190"/>
      <c r="JU11" s="190"/>
      <c r="JV11" s="190"/>
      <c r="JW11" s="190"/>
      <c r="JX11" s="190"/>
      <c r="JY11" s="190"/>
      <c r="JZ11" s="190"/>
      <c r="KA11" s="190"/>
      <c r="KB11" s="190"/>
      <c r="KC11" s="190"/>
      <c r="KD11" s="190"/>
      <c r="KE11" s="190"/>
      <c r="KF11" s="190"/>
      <c r="KG11" s="190"/>
      <c r="KH11" s="190"/>
      <c r="KI11" s="190"/>
      <c r="KJ11" s="190"/>
      <c r="KK11" s="190"/>
      <c r="KL11" s="190"/>
      <c r="KM11" s="190"/>
      <c r="KN11" s="190"/>
      <c r="KO11" s="190"/>
      <c r="KP11" s="190"/>
      <c r="KQ11" s="190"/>
      <c r="KR11" s="190"/>
      <c r="KS11" s="190"/>
      <c r="KT11" s="190" t="s">
        <v>64</v>
      </c>
      <c r="KU11" s="190"/>
      <c r="KV11" s="190"/>
      <c r="KW11" s="190"/>
      <c r="KX11" s="190"/>
      <c r="KY11" s="190"/>
      <c r="KZ11" s="190"/>
      <c r="LA11" s="190"/>
      <c r="LB11" s="190"/>
      <c r="LC11" s="190"/>
      <c r="LD11" s="190"/>
      <c r="LE11" s="190"/>
      <c r="LF11" s="190"/>
      <c r="LG11" s="190"/>
      <c r="LH11" s="190"/>
      <c r="LI11" s="190"/>
      <c r="LJ11" s="190"/>
      <c r="LK11" s="190"/>
      <c r="LL11" s="190"/>
      <c r="LM11" s="190"/>
      <c r="LN11" s="190"/>
      <c r="LO11" s="190"/>
      <c r="LP11" s="190"/>
      <c r="LQ11" s="190"/>
      <c r="LR11" s="190"/>
      <c r="LS11" s="190"/>
      <c r="LT11" s="190"/>
      <c r="LU11" s="190"/>
      <c r="LV11" s="190"/>
      <c r="LW11" s="190"/>
      <c r="LX11" s="190"/>
      <c r="LY11" s="190"/>
      <c r="LZ11" s="190"/>
      <c r="MA11" s="190"/>
      <c r="MB11" s="190"/>
      <c r="MC11" s="190"/>
      <c r="MD11" s="190"/>
      <c r="ME11" s="190"/>
      <c r="MF11" s="190"/>
      <c r="MG11" s="190"/>
      <c r="MH11" s="190"/>
      <c r="MI11" s="190"/>
      <c r="MJ11" s="190"/>
      <c r="MK11" s="190"/>
      <c r="ML11" s="190"/>
      <c r="MM11" s="190"/>
      <c r="MN11" s="190"/>
      <c r="MO11" s="190"/>
      <c r="MP11" s="190"/>
      <c r="MQ11" s="190"/>
      <c r="MR11" s="190"/>
      <c r="MS11" s="190"/>
      <c r="MT11" s="190"/>
      <c r="MU11" s="190"/>
      <c r="MV11" s="190"/>
      <c r="MW11" s="190"/>
      <c r="MX11" s="190"/>
      <c r="MY11" s="190"/>
      <c r="MZ11" s="190"/>
      <c r="NA11" s="190"/>
      <c r="NB11" s="190" t="s">
        <v>64</v>
      </c>
      <c r="NC11" s="190"/>
      <c r="ND11" s="190"/>
      <c r="NE11" s="190"/>
      <c r="NF11" s="190"/>
      <c r="NG11" s="190"/>
      <c r="NH11" s="190"/>
      <c r="NI11" s="190"/>
      <c r="NJ11" s="190"/>
      <c r="NK11" s="190"/>
      <c r="NL11" s="190"/>
      <c r="NM11" s="190"/>
      <c r="NN11" s="190"/>
      <c r="NO11" s="190"/>
      <c r="NP11" s="190"/>
      <c r="NQ11" s="190"/>
      <c r="NR11" s="190"/>
      <c r="NS11" s="190"/>
      <c r="NT11" s="190"/>
      <c r="NU11" s="190"/>
      <c r="NV11" s="190"/>
      <c r="NW11" s="190"/>
      <c r="NX11" s="190"/>
      <c r="NY11" s="190"/>
      <c r="NZ11" s="190"/>
      <c r="OA11" s="190"/>
      <c r="OB11" s="190"/>
      <c r="OC11" s="190"/>
      <c r="OD11" s="190"/>
      <c r="OE11" s="190"/>
      <c r="OF11" s="190"/>
      <c r="OG11" s="190"/>
      <c r="OH11" s="190"/>
      <c r="OI11" s="190"/>
      <c r="OJ11" s="190"/>
      <c r="OK11" s="190"/>
      <c r="OL11" s="190"/>
      <c r="OM11" s="190"/>
      <c r="ON11" s="190"/>
      <c r="OO11" s="190"/>
      <c r="OP11" s="190"/>
      <c r="OQ11" s="190"/>
      <c r="OR11" s="190"/>
      <c r="OS11" s="190"/>
      <c r="OT11" s="190"/>
      <c r="OU11" s="190"/>
      <c r="OV11" s="190"/>
      <c r="OW11" s="190"/>
      <c r="OX11" s="190"/>
      <c r="OY11" s="190"/>
      <c r="OZ11" s="190"/>
      <c r="PA11" s="190"/>
      <c r="PB11" s="190"/>
      <c r="PC11" s="190"/>
      <c r="PD11" s="190"/>
      <c r="PE11" s="190"/>
      <c r="PF11" s="190"/>
      <c r="PG11" s="190"/>
      <c r="PH11" s="190"/>
      <c r="PI11" s="190"/>
      <c r="PJ11" s="190" t="s">
        <v>65</v>
      </c>
      <c r="PK11" s="190"/>
      <c r="PL11" s="190"/>
      <c r="PM11" s="190"/>
      <c r="PN11" s="190"/>
      <c r="PO11" s="190"/>
      <c r="PP11" s="190"/>
      <c r="PQ11" s="190"/>
      <c r="PR11" s="190"/>
      <c r="PS11" s="190"/>
      <c r="PT11" s="190"/>
      <c r="PU11" s="190"/>
      <c r="PV11" s="190"/>
      <c r="PW11" s="190"/>
      <c r="PX11" s="190"/>
      <c r="PY11" s="190"/>
      <c r="PZ11" s="190"/>
      <c r="QA11" s="190"/>
      <c r="QB11" s="190"/>
      <c r="QC11" s="190"/>
      <c r="QD11" s="190"/>
      <c r="QE11" s="190"/>
      <c r="QF11" s="190"/>
      <c r="QG11" s="190"/>
      <c r="QH11" s="190"/>
      <c r="QI11" s="190"/>
      <c r="QJ11" s="190"/>
      <c r="QK11" s="190"/>
      <c r="QL11" s="190"/>
      <c r="QM11" s="190"/>
      <c r="QN11" s="190"/>
      <c r="QO11" s="190"/>
      <c r="QP11" s="190"/>
      <c r="QQ11" s="190"/>
      <c r="QR11" s="190"/>
      <c r="QS11" s="190"/>
      <c r="QT11" s="190"/>
      <c r="QU11" s="190"/>
      <c r="QV11" s="190"/>
      <c r="QW11" s="190"/>
      <c r="QX11" s="190"/>
      <c r="QY11" s="190"/>
      <c r="QZ11" s="190"/>
      <c r="RA11" s="190"/>
      <c r="RB11" s="190"/>
      <c r="RC11" s="190"/>
      <c r="RD11" s="190"/>
      <c r="RE11" s="190"/>
      <c r="RF11" s="190"/>
      <c r="RG11" s="190"/>
      <c r="RH11" s="190"/>
      <c r="RI11" s="190"/>
      <c r="RJ11" s="190"/>
      <c r="RK11" s="190"/>
      <c r="RL11" s="190"/>
      <c r="RM11" s="190"/>
      <c r="RN11" s="190"/>
      <c r="RO11" s="190"/>
      <c r="RP11" s="190"/>
      <c r="RQ11" s="190"/>
      <c r="RR11" s="190" t="s">
        <v>66</v>
      </c>
      <c r="RS11" s="190"/>
      <c r="RT11" s="190"/>
      <c r="RU11" s="190"/>
      <c r="RV11" s="190"/>
      <c r="RW11" s="190"/>
      <c r="RX11" s="190"/>
      <c r="RY11" s="190"/>
      <c r="RZ11" s="190"/>
      <c r="SA11" s="190"/>
      <c r="SB11" s="190"/>
      <c r="SC11" s="190"/>
      <c r="SD11" s="190"/>
      <c r="SE11" s="190"/>
      <c r="SF11" s="190"/>
      <c r="SG11" s="190"/>
      <c r="SH11" s="190"/>
      <c r="SI11" s="190"/>
      <c r="SJ11" s="190"/>
      <c r="SK11" s="190"/>
      <c r="SL11" s="190"/>
      <c r="SM11" s="190"/>
      <c r="SN11" s="190"/>
      <c r="SO11" s="190"/>
      <c r="SP11" s="190"/>
      <c r="SQ11" s="190"/>
      <c r="SR11" s="190"/>
      <c r="SS11" s="190"/>
      <c r="ST11" s="190"/>
      <c r="SU11" s="190"/>
      <c r="SV11" s="190"/>
      <c r="SW11" s="190"/>
      <c r="SX11" s="190"/>
      <c r="SY11" s="190"/>
      <c r="SZ11" s="190"/>
      <c r="TA11" s="190"/>
      <c r="TB11" s="190"/>
      <c r="TC11" s="190"/>
      <c r="TD11" s="190"/>
      <c r="TE11" s="190"/>
      <c r="TF11" s="190"/>
      <c r="TG11" s="190"/>
      <c r="TH11" s="190"/>
      <c r="TI11" s="190"/>
      <c r="TJ11" s="190"/>
      <c r="TK11" s="190"/>
      <c r="TL11" s="190"/>
      <c r="TM11" s="190"/>
      <c r="TN11" s="190"/>
      <c r="TO11" s="190"/>
      <c r="TP11" s="190"/>
      <c r="TQ11" s="190"/>
      <c r="TR11" s="190"/>
      <c r="TS11" s="190"/>
      <c r="TT11" s="190"/>
      <c r="TU11" s="190"/>
      <c r="TV11" s="190"/>
      <c r="TW11" s="190"/>
      <c r="TX11" s="190"/>
      <c r="TY11" s="190"/>
      <c r="TZ11" s="190" t="s">
        <v>66</v>
      </c>
      <c r="UA11" s="190"/>
      <c r="UB11" s="190"/>
      <c r="UC11" s="190"/>
      <c r="UD11" s="190"/>
      <c r="UE11" s="190"/>
      <c r="UF11" s="190"/>
      <c r="UG11" s="190"/>
      <c r="UH11" s="190"/>
      <c r="UI11" s="190"/>
      <c r="UJ11" s="190"/>
      <c r="UK11" s="190"/>
      <c r="UL11" s="190"/>
      <c r="UM11" s="190"/>
      <c r="UN11" s="190"/>
      <c r="UO11" s="190"/>
      <c r="UP11" s="190"/>
      <c r="UQ11" s="190"/>
      <c r="UR11" s="190"/>
      <c r="US11" s="190"/>
      <c r="UT11" s="190"/>
      <c r="UU11" s="190"/>
      <c r="UV11" s="190"/>
      <c r="UW11" s="190"/>
      <c r="UX11" s="190"/>
      <c r="UY11" s="190"/>
      <c r="UZ11" s="190"/>
      <c r="VA11" s="190"/>
      <c r="VB11" s="190"/>
      <c r="VC11" s="190"/>
      <c r="VD11" s="190"/>
      <c r="VE11" s="190"/>
      <c r="VF11" s="190"/>
      <c r="VG11" s="190"/>
      <c r="VH11" s="190"/>
      <c r="VI11" s="190"/>
      <c r="VJ11" s="190"/>
      <c r="VK11" s="190"/>
      <c r="VL11" s="190"/>
      <c r="VM11" s="190"/>
      <c r="VN11" s="190"/>
      <c r="VO11" s="190"/>
      <c r="VP11" s="190"/>
      <c r="VQ11" s="190"/>
      <c r="VR11" s="190"/>
      <c r="VS11" s="190"/>
      <c r="VT11" s="190"/>
      <c r="VU11" s="190"/>
      <c r="VV11" s="190"/>
      <c r="VW11" s="190"/>
      <c r="VX11" s="190"/>
      <c r="VY11" s="190"/>
      <c r="VZ11" s="190"/>
      <c r="WA11" s="190"/>
      <c r="WB11" s="190"/>
      <c r="WC11" s="190"/>
      <c r="WD11" s="190"/>
      <c r="WE11" s="190"/>
      <c r="WF11" s="190"/>
      <c r="WG11" s="190"/>
      <c r="WH11" s="190" t="s">
        <v>67</v>
      </c>
      <c r="WI11" s="190"/>
      <c r="WJ11" s="190"/>
      <c r="WK11" s="190"/>
      <c r="WL11" s="190"/>
      <c r="WM11" s="190"/>
      <c r="WN11" s="190"/>
      <c r="WO11" s="190"/>
      <c r="WP11" s="190"/>
      <c r="WQ11" s="190"/>
      <c r="WR11" s="190"/>
      <c r="WS11" s="190"/>
      <c r="WT11" s="190"/>
      <c r="WU11" s="190"/>
      <c r="WV11" s="190"/>
      <c r="WW11" s="190"/>
      <c r="WX11" s="190"/>
      <c r="WY11" s="190"/>
      <c r="WZ11" s="190"/>
      <c r="XA11" s="190"/>
      <c r="XB11" s="190"/>
      <c r="XC11" s="190"/>
      <c r="XD11" s="190"/>
      <c r="XE11" s="190"/>
      <c r="XF11" s="190"/>
      <c r="XG11" s="190"/>
      <c r="XH11" s="190"/>
      <c r="XI11" s="190"/>
      <c r="XJ11" s="190"/>
      <c r="XK11" s="190"/>
      <c r="XL11" s="190"/>
      <c r="XM11" s="190"/>
      <c r="XN11" s="190"/>
      <c r="XO11" s="190"/>
      <c r="XP11" s="190"/>
      <c r="XQ11" s="190"/>
      <c r="XR11" s="190"/>
      <c r="XS11" s="190"/>
      <c r="XT11" s="190"/>
      <c r="XU11" s="190"/>
      <c r="XV11" s="190"/>
      <c r="XW11" s="190"/>
      <c r="XX11" s="190"/>
      <c r="XY11" s="190"/>
      <c r="XZ11" s="190"/>
      <c r="YA11" s="190"/>
      <c r="YB11" s="190"/>
      <c r="YC11" s="190"/>
      <c r="YD11" s="190"/>
      <c r="YE11" s="190"/>
      <c r="YF11" s="190"/>
      <c r="YG11" s="190"/>
      <c r="YH11" s="190"/>
      <c r="YI11" s="190"/>
      <c r="YJ11" s="190"/>
      <c r="YK11" s="190"/>
      <c r="YL11" s="190"/>
      <c r="YM11" s="190"/>
      <c r="YN11" s="190"/>
      <c r="YO11" s="190"/>
      <c r="YP11" s="190" t="s">
        <v>67</v>
      </c>
      <c r="YQ11" s="190"/>
      <c r="YR11" s="190"/>
      <c r="YS11" s="190"/>
      <c r="YT11" s="190"/>
      <c r="YU11" s="190"/>
      <c r="YV11" s="190"/>
      <c r="YW11" s="190"/>
      <c r="YX11" s="190"/>
      <c r="YY11" s="190"/>
      <c r="YZ11" s="190"/>
      <c r="ZA11" s="190"/>
      <c r="ZB11" s="190"/>
      <c r="ZC11" s="190"/>
      <c r="ZD11" s="190"/>
      <c r="ZE11" s="190"/>
      <c r="ZF11" s="190"/>
      <c r="ZG11" s="190"/>
      <c r="ZH11" s="190"/>
      <c r="ZI11" s="190"/>
      <c r="ZJ11" s="190"/>
      <c r="ZK11" s="190"/>
      <c r="ZL11" s="190"/>
      <c r="ZM11" s="190"/>
      <c r="ZN11" s="190"/>
      <c r="ZO11" s="190"/>
      <c r="ZP11" s="190"/>
      <c r="ZQ11" s="190"/>
      <c r="ZR11" s="190"/>
      <c r="ZS11" s="190"/>
      <c r="ZT11" s="190"/>
      <c r="ZU11" s="190"/>
      <c r="ZV11" s="190"/>
      <c r="ZW11" s="190"/>
      <c r="ZX11" s="190"/>
      <c r="ZY11" s="190"/>
      <c r="ZZ11" s="190"/>
      <c r="AAA11" s="190"/>
      <c r="AAB11" s="190"/>
      <c r="AAC11" s="190"/>
      <c r="AAD11" s="190"/>
      <c r="AAE11" s="190"/>
      <c r="AAF11" s="190"/>
      <c r="AAG11" s="190"/>
      <c r="AAH11" s="190"/>
      <c r="AAI11" s="190"/>
      <c r="AAJ11" s="190"/>
      <c r="AAK11" s="190"/>
      <c r="AAL11" s="190"/>
      <c r="AAM11" s="190"/>
      <c r="AAN11" s="190"/>
      <c r="AAO11" s="190"/>
      <c r="AAP11" s="190"/>
      <c r="AAQ11" s="190"/>
      <c r="AAR11" s="190"/>
      <c r="AAS11" s="190"/>
      <c r="AAT11" s="190"/>
      <c r="AAU11" s="190"/>
      <c r="AAV11" s="190"/>
      <c r="AAW11" s="190"/>
      <c r="AAX11" s="190" t="s">
        <v>68</v>
      </c>
      <c r="AAY11" s="190"/>
      <c r="AAZ11" s="190"/>
      <c r="ABA11" s="190"/>
      <c r="ABB11" s="190"/>
      <c r="ABC11" s="190"/>
      <c r="ABD11" s="190"/>
      <c r="ABE11" s="190"/>
      <c r="ABF11" s="190"/>
      <c r="ABG11" s="190"/>
      <c r="ABH11" s="190"/>
      <c r="ABI11" s="190"/>
      <c r="ABJ11" s="190"/>
      <c r="ABK11" s="190"/>
      <c r="ABL11" s="190"/>
      <c r="ABM11" s="190"/>
      <c r="ABN11" s="190"/>
      <c r="ABO11" s="190"/>
      <c r="ABP11" s="190"/>
      <c r="ABQ11" s="190"/>
      <c r="ABR11" s="190"/>
      <c r="ABS11" s="190"/>
      <c r="ABT11" s="190"/>
      <c r="ABU11" s="190"/>
      <c r="ABV11" s="190"/>
      <c r="ABW11" s="190"/>
      <c r="ABX11" s="190"/>
      <c r="ABY11" s="190"/>
      <c r="ABZ11" s="190"/>
      <c r="ACA11" s="190"/>
      <c r="ACB11" s="190"/>
      <c r="ACC11" s="190"/>
      <c r="ACD11" s="190"/>
      <c r="ACE11" s="190"/>
      <c r="ACF11" s="190"/>
      <c r="ACG11" s="190"/>
      <c r="ACH11" s="190"/>
      <c r="ACI11" s="190"/>
      <c r="ACJ11" s="190"/>
      <c r="ACK11" s="190"/>
      <c r="ACL11" s="190"/>
      <c r="ACM11" s="190"/>
      <c r="ACN11" s="190"/>
      <c r="ACO11" s="190"/>
      <c r="ACP11" s="190"/>
      <c r="ACQ11" s="190"/>
      <c r="ACR11" s="190"/>
      <c r="ACS11" s="190"/>
      <c r="ACT11" s="190"/>
      <c r="ACU11" s="190"/>
      <c r="ACV11" s="190"/>
      <c r="ACW11" s="190"/>
      <c r="ACX11" s="190"/>
      <c r="ACY11" s="190"/>
      <c r="ACZ11" s="190"/>
      <c r="ADA11" s="190"/>
      <c r="ADB11" s="190"/>
      <c r="ADC11" s="190"/>
      <c r="ADD11" s="190"/>
      <c r="ADE11" s="190"/>
      <c r="ADF11" s="190" t="s">
        <v>69</v>
      </c>
      <c r="ADG11" s="190"/>
      <c r="ADH11" s="190"/>
      <c r="ADI11" s="190"/>
      <c r="ADJ11" s="190"/>
      <c r="ADK11" s="190"/>
      <c r="ADL11" s="190"/>
      <c r="ADM11" s="190"/>
      <c r="ADN11" s="190"/>
      <c r="ADO11" s="190"/>
      <c r="ADP11" s="190"/>
      <c r="ADQ11" s="190"/>
      <c r="ADR11" s="190"/>
      <c r="ADS11" s="190"/>
      <c r="ADT11" s="190"/>
      <c r="ADU11" s="190"/>
      <c r="ADV11" s="190"/>
      <c r="ADW11" s="190"/>
      <c r="ADX11" s="190"/>
      <c r="ADY11" s="190"/>
      <c r="ADZ11" s="190"/>
      <c r="AEA11" s="190"/>
      <c r="AEB11" s="190"/>
      <c r="AEC11" s="190"/>
      <c r="AED11" s="190"/>
      <c r="AEE11" s="190"/>
      <c r="AEF11" s="190"/>
      <c r="AEG11" s="190"/>
      <c r="AEH11" s="190"/>
      <c r="AEI11" s="190"/>
      <c r="AEJ11" s="190"/>
      <c r="AEK11" s="190"/>
      <c r="AEL11" s="190"/>
      <c r="AEM11" s="190"/>
      <c r="AEN11" s="190"/>
      <c r="AEO11" s="190"/>
      <c r="AEP11" s="190"/>
      <c r="AEQ11" s="190"/>
      <c r="AER11" s="190"/>
      <c r="AES11" s="190"/>
      <c r="AET11" s="190"/>
      <c r="AEU11" s="190"/>
      <c r="AEV11" s="190"/>
      <c r="AEW11" s="190"/>
      <c r="AEX11" s="190"/>
      <c r="AEY11" s="190"/>
      <c r="AEZ11" s="190"/>
      <c r="AFA11" s="190"/>
      <c r="AFB11" s="190"/>
      <c r="AFC11" s="190"/>
      <c r="AFD11" s="190"/>
      <c r="AFE11" s="190"/>
      <c r="AFF11" s="190"/>
      <c r="AFG11" s="190"/>
      <c r="AFH11" s="190"/>
      <c r="AFI11" s="190"/>
      <c r="AFJ11" s="190"/>
      <c r="AFK11" s="190"/>
      <c r="AFL11" s="190"/>
      <c r="AFM11" s="190"/>
      <c r="AFN11" s="190" t="s">
        <v>69</v>
      </c>
      <c r="AFO11" s="190"/>
      <c r="AFP11" s="190"/>
      <c r="AFQ11" s="190"/>
      <c r="AFR11" s="190"/>
      <c r="AFS11" s="190"/>
      <c r="AFT11" s="190"/>
      <c r="AFU11" s="190"/>
      <c r="AFV11" s="190"/>
      <c r="AFW11" s="190"/>
      <c r="AFX11" s="190"/>
      <c r="AFY11" s="190"/>
      <c r="AFZ11" s="190"/>
      <c r="AGA11" s="190"/>
      <c r="AGB11" s="190"/>
      <c r="AGC11" s="190"/>
      <c r="AGD11" s="190"/>
      <c r="AGE11" s="190"/>
      <c r="AGF11" s="190"/>
      <c r="AGG11" s="190"/>
      <c r="AGH11" s="190"/>
      <c r="AGI11" s="190"/>
      <c r="AGJ11" s="190"/>
      <c r="AGK11" s="190"/>
      <c r="AGL11" s="190"/>
      <c r="AGM11" s="190"/>
      <c r="AGN11" s="190"/>
      <c r="AGO11" s="190"/>
      <c r="AGP11" s="190"/>
      <c r="AGQ11" s="190"/>
      <c r="AGR11" s="190"/>
      <c r="AGS11" s="190"/>
      <c r="AGT11" s="190"/>
      <c r="AGU11" s="190"/>
      <c r="AGV11" s="190"/>
      <c r="AGW11" s="190"/>
      <c r="AGX11" s="190"/>
      <c r="AGY11" s="190"/>
      <c r="AGZ11" s="190"/>
      <c r="AHA11" s="190"/>
      <c r="AHB11" s="190"/>
      <c r="AHC11" s="190"/>
      <c r="AHD11" s="190"/>
      <c r="AHE11" s="190"/>
      <c r="AHF11" s="190"/>
      <c r="AHG11" s="190"/>
      <c r="AHH11" s="190"/>
      <c r="AHI11" s="190"/>
      <c r="AHJ11" s="190"/>
      <c r="AHK11" s="190"/>
      <c r="AHL11" s="190"/>
      <c r="AHM11" s="190"/>
      <c r="AHN11" s="190"/>
      <c r="AHO11" s="190"/>
      <c r="AHP11" s="190"/>
      <c r="AHQ11" s="190"/>
      <c r="AHR11" s="190"/>
      <c r="AHS11" s="190"/>
      <c r="AHT11" s="190"/>
      <c r="AHU11" s="190"/>
      <c r="AHV11" s="190" t="s">
        <v>70</v>
      </c>
      <c r="AHW11" s="190"/>
      <c r="AHX11" s="190"/>
      <c r="AHY11" s="190"/>
      <c r="AHZ11" s="190"/>
      <c r="AIA11" s="190"/>
      <c r="AIB11" s="190"/>
      <c r="AIC11" s="190"/>
      <c r="AID11" s="190"/>
      <c r="AIE11" s="190"/>
      <c r="AIF11" s="190"/>
      <c r="AIG11" s="190"/>
      <c r="AIH11" s="190"/>
      <c r="AII11" s="190"/>
      <c r="AIJ11" s="190"/>
      <c r="AIK11" s="190"/>
      <c r="AIL11" s="190"/>
      <c r="AIM11" s="190"/>
      <c r="AIN11" s="190"/>
      <c r="AIO11" s="190"/>
      <c r="AIP11" s="190"/>
      <c r="AIQ11" s="190"/>
      <c r="AIR11" s="190"/>
      <c r="AIS11" s="190"/>
      <c r="AIT11" s="190"/>
      <c r="AIU11" s="190"/>
      <c r="AIV11" s="190"/>
      <c r="AIW11" s="190"/>
      <c r="AIX11" s="190"/>
      <c r="AIY11" s="190"/>
      <c r="AIZ11" s="190"/>
      <c r="AJA11" s="190"/>
      <c r="AJB11" s="190"/>
      <c r="AJC11" s="190"/>
      <c r="AJD11" s="190"/>
      <c r="AJE11" s="190"/>
      <c r="AJF11" s="190"/>
      <c r="AJG11" s="190"/>
      <c r="AJH11" s="190"/>
      <c r="AJI11" s="190"/>
      <c r="AJJ11" s="190"/>
      <c r="AJK11" s="190"/>
      <c r="AJL11" s="190"/>
      <c r="AJM11" s="190"/>
      <c r="AJN11" s="190"/>
      <c r="AJO11" s="190"/>
      <c r="AJP11" s="190"/>
      <c r="AJQ11" s="190"/>
      <c r="AJR11" s="190"/>
      <c r="AJS11" s="190"/>
      <c r="AJT11" s="190"/>
      <c r="AJU11" s="190"/>
      <c r="AJV11" s="190"/>
      <c r="AJW11" s="190"/>
      <c r="AJX11" s="190"/>
      <c r="AJY11" s="190"/>
      <c r="AJZ11" s="190"/>
      <c r="AKA11" s="190"/>
      <c r="AKB11" s="190"/>
      <c r="AKC11" s="190"/>
      <c r="AKD11" s="190" t="s">
        <v>70</v>
      </c>
      <c r="AKE11" s="190"/>
      <c r="AKF11" s="190"/>
      <c r="AKG11" s="190"/>
      <c r="AKH11" s="190"/>
      <c r="AKI11" s="190"/>
      <c r="AKJ11" s="190"/>
      <c r="AKK11" s="190"/>
      <c r="AKL11" s="190"/>
      <c r="AKM11" s="190"/>
      <c r="AKN11" s="190"/>
      <c r="AKO11" s="190"/>
      <c r="AKP11" s="190"/>
      <c r="AKQ11" s="190"/>
      <c r="AKR11" s="190"/>
      <c r="AKS11" s="190"/>
      <c r="AKT11" s="190"/>
      <c r="AKU11" s="190"/>
      <c r="AKV11" s="190"/>
      <c r="AKW11" s="190"/>
      <c r="AKX11" s="190"/>
      <c r="AKY11" s="190"/>
      <c r="AKZ11" s="190"/>
      <c r="ALA11" s="190"/>
      <c r="ALB11" s="190"/>
      <c r="ALC11" s="190"/>
      <c r="ALD11" s="190"/>
      <c r="ALE11" s="190"/>
      <c r="ALF11" s="190"/>
      <c r="ALG11" s="190"/>
      <c r="ALH11" s="190"/>
      <c r="ALI11" s="190"/>
      <c r="ALJ11" s="190"/>
      <c r="ALK11" s="190"/>
      <c r="ALL11" s="190"/>
      <c r="ALM11" s="190"/>
      <c r="ALN11" s="190"/>
      <c r="ALO11" s="190"/>
      <c r="ALP11" s="190"/>
      <c r="ALQ11" s="190"/>
      <c r="ALR11" s="190"/>
      <c r="ALS11" s="190"/>
      <c r="ALT11" s="190"/>
      <c r="ALU11" s="190"/>
      <c r="ALV11" s="190"/>
      <c r="ALW11" s="190"/>
      <c r="ALX11" s="190"/>
      <c r="ALY11" s="190"/>
      <c r="ALZ11" s="190"/>
      <c r="AMA11" s="190"/>
      <c r="AMB11" s="190"/>
      <c r="AMC11" s="190"/>
      <c r="AMD11" s="190"/>
      <c r="AME11" s="190"/>
      <c r="AMF11" s="190"/>
      <c r="AMG11" s="190"/>
      <c r="AMH11" s="190"/>
      <c r="AMI11" s="190"/>
      <c r="AMJ11" s="190"/>
      <c r="AMK11" s="190"/>
      <c r="AML11" s="190" t="s">
        <v>71</v>
      </c>
      <c r="AMM11" s="190"/>
      <c r="AMN11" s="190"/>
      <c r="AMO11" s="190"/>
      <c r="AMP11" s="190"/>
      <c r="AMQ11" s="190"/>
      <c r="AMR11" s="190"/>
      <c r="AMS11" s="190"/>
      <c r="AMT11" s="190"/>
      <c r="AMU11" s="190"/>
      <c r="AMV11" s="190"/>
      <c r="AMW11" s="190"/>
      <c r="AMX11" s="190"/>
      <c r="AMY11" s="190"/>
      <c r="AMZ11" s="190"/>
      <c r="ANA11" s="190"/>
      <c r="ANB11" s="190"/>
      <c r="ANC11" s="190"/>
      <c r="AND11" s="190"/>
      <c r="ANE11" s="190"/>
      <c r="ANF11" s="190"/>
      <c r="ANG11" s="190"/>
      <c r="ANH11" s="190"/>
      <c r="ANI11" s="190"/>
      <c r="ANJ11" s="190"/>
      <c r="ANK11" s="190"/>
      <c r="ANL11" s="190"/>
      <c r="ANM11" s="190"/>
      <c r="ANN11" s="190"/>
      <c r="ANO11" s="190"/>
      <c r="ANP11" s="190"/>
      <c r="ANQ11" s="190"/>
      <c r="ANR11" s="190"/>
      <c r="ANS11" s="190"/>
      <c r="ANT11" s="190"/>
      <c r="ANU11" s="190"/>
      <c r="ANV11" s="190"/>
      <c r="ANW11" s="190"/>
      <c r="ANX11" s="190"/>
      <c r="ANY11" s="190"/>
      <c r="ANZ11" s="190"/>
      <c r="AOA11" s="190"/>
      <c r="AOB11" s="190"/>
      <c r="AOC11" s="190"/>
      <c r="AOD11" s="190"/>
      <c r="AOE11" s="190"/>
      <c r="AOF11" s="190"/>
      <c r="AOG11" s="190"/>
      <c r="AOH11" s="190"/>
      <c r="AOI11" s="190"/>
      <c r="AOJ11" s="190"/>
      <c r="AOK11" s="190"/>
      <c r="AOL11" s="190"/>
      <c r="AOM11" s="190"/>
      <c r="AON11" s="190"/>
      <c r="AOO11" s="190"/>
      <c r="AOP11" s="190"/>
      <c r="AOQ11" s="190"/>
      <c r="AOR11" s="190"/>
      <c r="AOS11" s="190"/>
      <c r="AOT11" s="190" t="s">
        <v>71</v>
      </c>
      <c r="AOU11" s="190"/>
      <c r="AOV11" s="190"/>
      <c r="AOW11" s="190"/>
      <c r="AOX11" s="190"/>
      <c r="AOY11" s="190"/>
      <c r="AOZ11" s="190"/>
      <c r="APA11" s="190"/>
      <c r="APB11" s="190"/>
      <c r="APC11" s="190"/>
      <c r="APD11" s="190"/>
      <c r="APE11" s="190"/>
      <c r="APF11" s="190"/>
      <c r="APG11" s="190"/>
      <c r="APH11" s="190"/>
      <c r="API11" s="190"/>
      <c r="APJ11" s="190"/>
      <c r="APK11" s="190"/>
      <c r="APL11" s="190"/>
      <c r="APM11" s="190"/>
      <c r="APN11" s="190"/>
      <c r="APO11" s="190"/>
      <c r="APP11" s="190"/>
      <c r="APQ11" s="190"/>
      <c r="APR11" s="190"/>
      <c r="APS11" s="190"/>
      <c r="APT11" s="190"/>
      <c r="APU11" s="190"/>
      <c r="APV11" s="190"/>
      <c r="APW11" s="190"/>
      <c r="APX11" s="190"/>
      <c r="APY11" s="190"/>
      <c r="APZ11" s="190"/>
      <c r="AQA11" s="190"/>
      <c r="AQB11" s="190"/>
      <c r="AQC11" s="190"/>
      <c r="AQD11" s="190"/>
      <c r="AQE11" s="190"/>
      <c r="AQF11" s="190"/>
      <c r="AQG11" s="190"/>
      <c r="AQH11" s="190"/>
      <c r="AQI11" s="190"/>
      <c r="AQJ11" s="190"/>
      <c r="AQK11" s="190"/>
      <c r="AQL11" s="190"/>
      <c r="AQM11" s="190"/>
      <c r="AQN11" s="190"/>
      <c r="AQO11" s="190"/>
      <c r="AQP11" s="190"/>
      <c r="AQQ11" s="190"/>
      <c r="AQR11" s="190"/>
      <c r="AQS11" s="190"/>
      <c r="AQT11" s="190"/>
      <c r="AQU11" s="190"/>
      <c r="AQV11" s="190"/>
      <c r="AQW11" s="190"/>
      <c r="AQX11" s="190"/>
      <c r="AQY11" s="190"/>
      <c r="AQZ11" s="190"/>
      <c r="ARA11" s="190"/>
      <c r="ARB11" s="190" t="s">
        <v>72</v>
      </c>
      <c r="ARC11" s="190"/>
      <c r="ARD11" s="190"/>
      <c r="ARE11" s="190"/>
      <c r="ARF11" s="190"/>
      <c r="ARG11" s="190"/>
      <c r="ARH11" s="190"/>
      <c r="ARI11" s="190"/>
      <c r="ARJ11" s="190"/>
      <c r="ARK11" s="190"/>
      <c r="ARL11" s="190"/>
      <c r="ARM11" s="190"/>
      <c r="ARN11" s="190"/>
      <c r="ARO11" s="190"/>
      <c r="ARP11" s="190"/>
      <c r="ARQ11" s="190"/>
      <c r="ARR11" s="190"/>
      <c r="ARS11" s="190"/>
      <c r="ART11" s="190"/>
      <c r="ARU11" s="190"/>
      <c r="ARV11" s="190"/>
      <c r="ARW11" s="190"/>
      <c r="ARX11" s="190"/>
      <c r="ARY11" s="190"/>
      <c r="ARZ11" s="190"/>
      <c r="ASA11" s="190"/>
      <c r="ASB11" s="190"/>
      <c r="ASC11" s="190"/>
      <c r="ASD11" s="190"/>
      <c r="ASE11" s="190"/>
      <c r="ASF11" s="190"/>
      <c r="ASG11" s="190"/>
      <c r="ASH11" s="190"/>
      <c r="ASI11" s="190"/>
      <c r="ASJ11" s="190"/>
      <c r="ASK11" s="190"/>
      <c r="ASL11" s="190"/>
      <c r="ASM11" s="190"/>
      <c r="ASN11" s="190"/>
      <c r="ASO11" s="190"/>
      <c r="ASP11" s="190"/>
      <c r="ASQ11" s="190"/>
      <c r="ASR11" s="190"/>
      <c r="ASS11" s="190"/>
      <c r="AST11" s="190"/>
      <c r="ASU11" s="190"/>
      <c r="ASV11" s="190"/>
      <c r="ASW11" s="190"/>
      <c r="ASX11" s="190"/>
      <c r="ASY11" s="190"/>
      <c r="ASZ11" s="190"/>
      <c r="ATA11" s="190"/>
      <c r="ATB11" s="190"/>
      <c r="ATC11" s="190"/>
      <c r="ATD11" s="190"/>
      <c r="ATE11" s="190"/>
      <c r="ATF11" s="190"/>
      <c r="ATG11" s="190"/>
      <c r="ATH11" s="190"/>
      <c r="ATI11" s="190"/>
      <c r="ATJ11" s="190" t="s">
        <v>73</v>
      </c>
      <c r="ATK11" s="190"/>
      <c r="ATL11" s="190"/>
      <c r="ATM11" s="190"/>
      <c r="ATN11" s="190"/>
      <c r="ATO11" s="190"/>
      <c r="ATP11" s="190"/>
      <c r="ATQ11" s="190"/>
      <c r="ATR11" s="190"/>
      <c r="ATS11" s="190"/>
      <c r="ATT11" s="190"/>
      <c r="ATU11" s="190"/>
      <c r="ATV11" s="190"/>
      <c r="ATW11" s="190"/>
      <c r="ATX11" s="190"/>
      <c r="ATY11" s="190"/>
      <c r="ATZ11" s="190"/>
      <c r="AUA11" s="190"/>
      <c r="AUB11" s="190"/>
      <c r="AUC11" s="190"/>
      <c r="AUD11" s="190"/>
      <c r="AUE11" s="190"/>
      <c r="AUF11" s="190"/>
      <c r="AUG11" s="190"/>
      <c r="AUH11" s="190"/>
      <c r="AUI11" s="190"/>
      <c r="AUJ11" s="190"/>
      <c r="AUK11" s="190"/>
      <c r="AUL11" s="190"/>
      <c r="AUM11" s="190"/>
      <c r="AUN11" s="190"/>
      <c r="AUO11" s="190"/>
      <c r="AUP11" s="190"/>
      <c r="AUQ11" s="190"/>
      <c r="AUR11" s="190"/>
      <c r="AUS11" s="190"/>
      <c r="AUT11" s="190"/>
      <c r="AUU11" s="190"/>
      <c r="AUV11" s="190"/>
      <c r="AUW11" s="190"/>
      <c r="AUX11" s="190"/>
      <c r="AUY11" s="190"/>
      <c r="AUZ11" s="190"/>
      <c r="AVA11" s="190"/>
      <c r="AVB11" s="190"/>
      <c r="AVC11" s="190"/>
      <c r="AVD11" s="190"/>
      <c r="AVE11" s="190"/>
      <c r="AVF11" s="190"/>
      <c r="AVG11" s="190"/>
      <c r="AVH11" s="190"/>
      <c r="AVI11" s="190"/>
      <c r="AVJ11" s="190"/>
      <c r="AVK11" s="190"/>
      <c r="AVL11" s="190"/>
      <c r="AVM11" s="190"/>
      <c r="AVN11" s="190"/>
      <c r="AVO11" s="190"/>
      <c r="AVP11" s="190"/>
      <c r="AVQ11" s="190"/>
      <c r="AVR11" s="190" t="s">
        <v>73</v>
      </c>
      <c r="AVS11" s="190"/>
      <c r="AVT11" s="190"/>
      <c r="AVU11" s="190"/>
      <c r="AVV11" s="190"/>
      <c r="AVW11" s="190"/>
      <c r="AVX11" s="190"/>
      <c r="AVY11" s="190"/>
      <c r="AVZ11" s="190"/>
      <c r="AWA11" s="190"/>
      <c r="AWB11" s="190"/>
      <c r="AWC11" s="190"/>
      <c r="AWD11" s="190"/>
      <c r="AWE11" s="190"/>
      <c r="AWF11" s="190"/>
      <c r="AWG11" s="190"/>
      <c r="AWH11" s="190"/>
      <c r="AWI11" s="190"/>
      <c r="AWJ11" s="190"/>
      <c r="AWK11" s="190"/>
      <c r="AWL11" s="190"/>
      <c r="AWM11" s="190"/>
      <c r="AWN11" s="190"/>
      <c r="AWO11" s="190"/>
      <c r="AWP11" s="190"/>
      <c r="AWQ11" s="190"/>
      <c r="AWR11" s="190"/>
      <c r="AWS11" s="190"/>
      <c r="AWT11" s="190"/>
      <c r="AWU11" s="190"/>
      <c r="AWV11" s="190"/>
      <c r="AWW11" s="190"/>
      <c r="AWX11" s="190"/>
      <c r="AWY11" s="190"/>
      <c r="AWZ11" s="190"/>
      <c r="AXA11" s="190"/>
      <c r="AXB11" s="190"/>
      <c r="AXC11" s="190"/>
      <c r="AXD11" s="190"/>
      <c r="AXE11" s="190"/>
      <c r="AXF11" s="190"/>
      <c r="AXG11" s="190"/>
      <c r="AXH11" s="190"/>
      <c r="AXI11" s="190"/>
      <c r="AXJ11" s="190"/>
      <c r="AXK11" s="190"/>
      <c r="AXL11" s="190"/>
      <c r="AXM11" s="190"/>
      <c r="AXN11" s="190"/>
      <c r="AXO11" s="190"/>
      <c r="AXP11" s="190"/>
      <c r="AXQ11" s="190"/>
      <c r="AXR11" s="190"/>
      <c r="AXS11" s="190"/>
      <c r="AXT11" s="190"/>
      <c r="AXU11" s="190"/>
      <c r="AXV11" s="190"/>
      <c r="AXW11" s="190"/>
      <c r="AXX11" s="190"/>
      <c r="AXY11" s="190"/>
      <c r="AXZ11" s="190" t="s">
        <v>74</v>
      </c>
      <c r="AYA11" s="190"/>
      <c r="AYB11" s="190"/>
      <c r="AYC11" s="190"/>
      <c r="AYD11" s="190"/>
      <c r="AYE11" s="190"/>
      <c r="AYF11" s="190"/>
      <c r="AYG11" s="190"/>
      <c r="AYH11" s="190"/>
      <c r="AYI11" s="190"/>
      <c r="AYJ11" s="190"/>
      <c r="AYK11" s="190"/>
      <c r="AYL11" s="190"/>
      <c r="AYM11" s="190"/>
      <c r="AYN11" s="190"/>
      <c r="AYO11" s="190"/>
      <c r="AYP11" s="190"/>
      <c r="AYQ11" s="190"/>
      <c r="AYR11" s="190"/>
      <c r="AYS11" s="190"/>
      <c r="AYT11" s="190"/>
      <c r="AYU11" s="190"/>
      <c r="AYV11" s="190"/>
      <c r="AYW11" s="190"/>
      <c r="AYX11" s="190"/>
      <c r="AYY11" s="190"/>
      <c r="AYZ11" s="190"/>
      <c r="AZA11" s="190"/>
      <c r="AZB11" s="190"/>
      <c r="AZC11" s="190"/>
      <c r="AZD11" s="190"/>
      <c r="AZE11" s="190"/>
      <c r="AZF11" s="190"/>
      <c r="AZG11" s="190"/>
      <c r="AZH11" s="190"/>
      <c r="AZI11" s="190"/>
      <c r="AZJ11" s="190"/>
      <c r="AZK11" s="190"/>
      <c r="AZL11" s="190"/>
      <c r="AZM11" s="190"/>
      <c r="AZN11" s="190"/>
      <c r="AZO11" s="190"/>
      <c r="AZP11" s="190"/>
      <c r="AZQ11" s="190"/>
      <c r="AZR11" s="190"/>
      <c r="AZS11" s="190"/>
      <c r="AZT11" s="190"/>
      <c r="AZU11" s="190"/>
      <c r="AZV11" s="190"/>
      <c r="AZW11" s="190"/>
      <c r="AZX11" s="190"/>
      <c r="AZY11" s="190"/>
      <c r="AZZ11" s="190"/>
      <c r="BAA11" s="190"/>
      <c r="BAB11" s="190"/>
      <c r="BAC11" s="190"/>
      <c r="BAD11" s="190"/>
      <c r="BAE11" s="190"/>
      <c r="BAF11" s="190"/>
      <c r="BAG11" s="190"/>
      <c r="BAH11" s="190" t="s">
        <v>74</v>
      </c>
      <c r="BAI11" s="190"/>
      <c r="BAJ11" s="190"/>
      <c r="BAK11" s="190"/>
      <c r="BAL11" s="190"/>
      <c r="BAM11" s="190"/>
      <c r="BAN11" s="190"/>
      <c r="BAO11" s="190"/>
      <c r="BAP11" s="190"/>
      <c r="BAQ11" s="190"/>
      <c r="BAR11" s="190"/>
      <c r="BAS11" s="190"/>
      <c r="BAT11" s="190"/>
      <c r="BAU11" s="190"/>
      <c r="BAV11" s="190"/>
      <c r="BAW11" s="190"/>
      <c r="BAX11" s="190"/>
      <c r="BAY11" s="190"/>
      <c r="BAZ11" s="190"/>
      <c r="BBA11" s="190"/>
      <c r="BBB11" s="190"/>
      <c r="BBC11" s="190"/>
      <c r="BBD11" s="190"/>
      <c r="BBE11" s="190"/>
      <c r="BBF11" s="190"/>
      <c r="BBG11" s="190"/>
      <c r="BBH11" s="190"/>
      <c r="BBI11" s="190"/>
      <c r="BBJ11" s="190"/>
      <c r="BBK11" s="190"/>
      <c r="BBL11" s="190"/>
      <c r="BBM11" s="190"/>
      <c r="BBN11" s="190"/>
      <c r="BBO11" s="190"/>
      <c r="BBP11" s="190"/>
      <c r="BBQ11" s="190"/>
      <c r="BBR11" s="190"/>
      <c r="BBS11" s="190"/>
      <c r="BBT11" s="190"/>
      <c r="BBU11" s="190"/>
      <c r="BBV11" s="190"/>
      <c r="BBW11" s="190"/>
      <c r="BBX11" s="190"/>
      <c r="BBY11" s="190"/>
      <c r="BBZ11" s="190"/>
      <c r="BCA11" s="190"/>
      <c r="BCB11" s="190"/>
      <c r="BCC11" s="190"/>
      <c r="BCD11" s="190"/>
      <c r="BCE11" s="190"/>
      <c r="BCF11" s="190"/>
      <c r="BCG11" s="190"/>
      <c r="BCH11" s="190"/>
      <c r="BCI11" s="190"/>
      <c r="BCJ11" s="190"/>
      <c r="BCK11" s="190"/>
      <c r="BCL11" s="190"/>
      <c r="BCM11" s="190"/>
      <c r="BCN11" s="190"/>
      <c r="BCO11" s="190"/>
      <c r="BCP11" s="190" t="s">
        <v>75</v>
      </c>
      <c r="BCQ11" s="190"/>
      <c r="BCR11" s="190"/>
      <c r="BCS11" s="190"/>
      <c r="BCT11" s="190"/>
      <c r="BCU11" s="190"/>
      <c r="BCV11" s="190"/>
      <c r="BCW11" s="190"/>
      <c r="BCX11" s="190"/>
      <c r="BCY11" s="190"/>
      <c r="BCZ11" s="190"/>
      <c r="BDA11" s="190"/>
      <c r="BDB11" s="190"/>
      <c r="BDC11" s="190"/>
      <c r="BDD11" s="190"/>
      <c r="BDE11" s="190"/>
      <c r="BDF11" s="190"/>
      <c r="BDG11" s="190"/>
      <c r="BDH11" s="190"/>
      <c r="BDI11" s="190"/>
      <c r="BDJ11" s="190"/>
      <c r="BDK11" s="190"/>
      <c r="BDL11" s="190"/>
      <c r="BDM11" s="190"/>
      <c r="BDN11" s="190"/>
      <c r="BDO11" s="190"/>
      <c r="BDP11" s="190"/>
      <c r="BDQ11" s="190"/>
      <c r="BDR11" s="190"/>
      <c r="BDS11" s="190"/>
      <c r="BDT11" s="190"/>
      <c r="BDU11" s="190"/>
      <c r="BDV11" s="190"/>
      <c r="BDW11" s="190"/>
      <c r="BDX11" s="190"/>
      <c r="BDY11" s="190"/>
      <c r="BDZ11" s="190"/>
      <c r="BEA11" s="190"/>
      <c r="BEB11" s="190"/>
      <c r="BEC11" s="190"/>
      <c r="BED11" s="190"/>
      <c r="BEE11" s="190"/>
      <c r="BEF11" s="190"/>
      <c r="BEG11" s="190"/>
      <c r="BEH11" s="190"/>
      <c r="BEI11" s="190"/>
      <c r="BEJ11" s="190"/>
      <c r="BEK11" s="190"/>
      <c r="BEL11" s="190"/>
      <c r="BEM11" s="190"/>
      <c r="BEN11" s="190"/>
      <c r="BEO11" s="190"/>
      <c r="BEP11" s="190"/>
      <c r="BEQ11" s="190"/>
      <c r="BER11" s="190"/>
      <c r="BES11" s="190"/>
      <c r="BET11" s="190"/>
      <c r="BEU11" s="190"/>
      <c r="BEV11" s="190"/>
      <c r="BEW11" s="190"/>
      <c r="BEX11" s="190" t="s">
        <v>75</v>
      </c>
      <c r="BEY11" s="190"/>
      <c r="BEZ11" s="190"/>
      <c r="BFA11" s="190"/>
      <c r="BFB11" s="190"/>
      <c r="BFC11" s="190"/>
      <c r="BFD11" s="190"/>
      <c r="BFE11" s="190"/>
      <c r="BFF11" s="190"/>
      <c r="BFG11" s="190"/>
      <c r="BFH11" s="190"/>
      <c r="BFI11" s="190"/>
      <c r="BFJ11" s="190"/>
      <c r="BFK11" s="190"/>
      <c r="BFL11" s="190"/>
      <c r="BFM11" s="190"/>
      <c r="BFN11" s="190"/>
      <c r="BFO11" s="190"/>
      <c r="BFP11" s="190"/>
      <c r="BFQ11" s="190"/>
      <c r="BFR11" s="190"/>
      <c r="BFS11" s="190"/>
      <c r="BFT11" s="190"/>
      <c r="BFU11" s="190"/>
      <c r="BFV11" s="190"/>
      <c r="BFW11" s="190"/>
      <c r="BFX11" s="190"/>
      <c r="BFY11" s="190"/>
      <c r="BFZ11" s="190"/>
      <c r="BGA11" s="190"/>
      <c r="BGB11" s="190"/>
      <c r="BGC11" s="190"/>
      <c r="BGD11" s="190"/>
      <c r="BGE11" s="190"/>
      <c r="BGF11" s="190"/>
      <c r="BGG11" s="190"/>
      <c r="BGH11" s="190"/>
      <c r="BGI11" s="190"/>
      <c r="BGJ11" s="190"/>
      <c r="BGK11" s="190"/>
      <c r="BGL11" s="190"/>
      <c r="BGM11" s="190"/>
      <c r="BGN11" s="190"/>
      <c r="BGO11" s="190"/>
      <c r="BGP11" s="190"/>
      <c r="BGQ11" s="190"/>
      <c r="BGR11" s="190"/>
      <c r="BGS11" s="190"/>
      <c r="BGT11" s="190"/>
      <c r="BGU11" s="190"/>
      <c r="BGV11" s="190"/>
      <c r="BGW11" s="190"/>
      <c r="BGX11" s="190"/>
      <c r="BGY11" s="190"/>
      <c r="BGZ11" s="190"/>
      <c r="BHA11" s="190"/>
      <c r="BHB11" s="190"/>
      <c r="BHC11" s="190"/>
      <c r="BHD11" s="190"/>
      <c r="BHE11" s="190"/>
      <c r="BHF11" s="190" t="s">
        <v>76</v>
      </c>
      <c r="BHG11" s="190"/>
      <c r="BHH11" s="190"/>
      <c r="BHI11" s="190"/>
      <c r="BHJ11" s="190"/>
      <c r="BHK11" s="190"/>
      <c r="BHL11" s="190"/>
      <c r="BHM11" s="190"/>
      <c r="BHN11" s="190"/>
      <c r="BHO11" s="190"/>
      <c r="BHP11" s="190"/>
      <c r="BHQ11" s="190"/>
      <c r="BHR11" s="190"/>
      <c r="BHS11" s="190"/>
      <c r="BHT11" s="190"/>
      <c r="BHU11" s="190"/>
      <c r="BHV11" s="190"/>
      <c r="BHW11" s="190"/>
      <c r="BHX11" s="190"/>
      <c r="BHY11" s="190"/>
      <c r="BHZ11" s="190"/>
      <c r="BIA11" s="190"/>
      <c r="BIB11" s="190"/>
      <c r="BIC11" s="190"/>
      <c r="BID11" s="190"/>
      <c r="BIE11" s="190"/>
      <c r="BIF11" s="190"/>
      <c r="BIG11" s="190"/>
      <c r="BIH11" s="190"/>
      <c r="BII11" s="190"/>
      <c r="BIJ11" s="190"/>
      <c r="BIK11" s="190"/>
      <c r="BIL11" s="190"/>
      <c r="BIM11" s="190"/>
      <c r="BIN11" s="190"/>
      <c r="BIO11" s="190"/>
      <c r="BIP11" s="190"/>
      <c r="BIQ11" s="190"/>
      <c r="BIR11" s="190"/>
      <c r="BIS11" s="190"/>
      <c r="BIT11" s="190"/>
      <c r="BIU11" s="190"/>
      <c r="BIV11" s="190"/>
      <c r="BIW11" s="190"/>
      <c r="BIX11" s="190"/>
      <c r="BIY11" s="190"/>
      <c r="BIZ11" s="190"/>
      <c r="BJA11" s="190"/>
      <c r="BJB11" s="190"/>
      <c r="BJC11" s="190"/>
      <c r="BJD11" s="190"/>
      <c r="BJE11" s="190"/>
      <c r="BJF11" s="190"/>
      <c r="BJG11" s="190"/>
      <c r="BJH11" s="190"/>
      <c r="BJI11" s="190"/>
      <c r="BJJ11" s="190"/>
      <c r="BJK11" s="190"/>
      <c r="BJL11" s="190"/>
      <c r="BJM11" s="190"/>
      <c r="BJN11" s="190" t="s">
        <v>76</v>
      </c>
      <c r="BJO11" s="190"/>
      <c r="BJP11" s="190"/>
      <c r="BJQ11" s="190"/>
      <c r="BJR11" s="190"/>
      <c r="BJS11" s="190"/>
      <c r="BJT11" s="190"/>
      <c r="BJU11" s="190"/>
      <c r="BJV11" s="190"/>
      <c r="BJW11" s="190"/>
      <c r="BJX11" s="190"/>
      <c r="BJY11" s="190"/>
      <c r="BJZ11" s="190"/>
      <c r="BKA11" s="190"/>
      <c r="BKB11" s="190"/>
      <c r="BKC11" s="190"/>
      <c r="BKD11" s="190"/>
      <c r="BKE11" s="190"/>
      <c r="BKF11" s="190"/>
      <c r="BKG11" s="190"/>
      <c r="BKH11" s="190"/>
      <c r="BKI11" s="190"/>
      <c r="BKJ11" s="190"/>
      <c r="BKK11" s="190"/>
      <c r="BKL11" s="190"/>
      <c r="BKM11" s="190"/>
      <c r="BKN11" s="190"/>
      <c r="BKO11" s="190"/>
      <c r="BKP11" s="190"/>
      <c r="BKQ11" s="190"/>
      <c r="BKR11" s="190"/>
      <c r="BKS11" s="190"/>
      <c r="BKT11" s="190"/>
      <c r="BKU11" s="190"/>
      <c r="BKV11" s="190"/>
      <c r="BKW11" s="190"/>
      <c r="BKX11" s="190"/>
      <c r="BKY11" s="190"/>
      <c r="BKZ11" s="190"/>
      <c r="BLA11" s="190"/>
      <c r="BLB11" s="190"/>
      <c r="BLC11" s="190"/>
      <c r="BLD11" s="190"/>
      <c r="BLE11" s="190"/>
      <c r="BLF11" s="190"/>
      <c r="BLG11" s="190"/>
      <c r="BLH11" s="190"/>
      <c r="BLI11" s="190"/>
      <c r="BLJ11" s="190"/>
      <c r="BLK11" s="190"/>
      <c r="BLL11" s="190"/>
      <c r="BLM11" s="190"/>
      <c r="BLN11" s="190"/>
      <c r="BLO11" s="190"/>
      <c r="BLP11" s="190"/>
      <c r="BLQ11" s="190"/>
      <c r="BLR11" s="190"/>
      <c r="BLS11" s="190"/>
      <c r="BLT11" s="190"/>
      <c r="BLU11" s="190"/>
      <c r="BLV11" s="90"/>
    </row>
    <row r="12" spans="1:1686" ht="15.75" customHeight="1" thickBot="1" x14ac:dyDescent="0.3">
      <c r="B12" s="97"/>
      <c r="C12" s="218"/>
      <c r="D12" s="218"/>
      <c r="E12" s="218"/>
      <c r="F12" s="212" t="s">
        <v>61</v>
      </c>
      <c r="G12" s="212"/>
      <c r="H12" s="212"/>
      <c r="I12" s="212"/>
      <c r="J12" s="212"/>
      <c r="K12" s="212"/>
      <c r="L12" s="212"/>
      <c r="M12" s="212"/>
      <c r="N12" s="212"/>
      <c r="O12" s="212"/>
      <c r="P12" s="212"/>
      <c r="Q12" s="212"/>
      <c r="R12" s="212"/>
      <c r="S12" s="212"/>
      <c r="T12" s="212"/>
      <c r="U12" s="212"/>
      <c r="V12" s="212"/>
      <c r="W12" s="212"/>
      <c r="X12" s="212"/>
      <c r="Y12" s="212"/>
      <c r="Z12" s="212"/>
      <c r="AA12" s="212"/>
      <c r="AB12" s="212"/>
      <c r="AC12" s="212"/>
      <c r="AD12" s="212"/>
      <c r="AE12" s="212"/>
      <c r="AF12" s="212"/>
      <c r="AG12" s="212"/>
      <c r="AH12" s="212"/>
      <c r="AI12" s="212"/>
      <c r="AJ12" s="212"/>
      <c r="AK12" s="212"/>
      <c r="AL12" s="212"/>
      <c r="AM12" s="212"/>
      <c r="AN12" s="212"/>
      <c r="AO12" s="212"/>
      <c r="AP12" s="212"/>
      <c r="AQ12" s="212"/>
      <c r="AR12" s="212"/>
      <c r="AS12" s="212"/>
      <c r="AT12" s="212"/>
      <c r="AU12" s="212"/>
      <c r="AV12" s="212"/>
      <c r="AW12" s="212"/>
      <c r="AX12" s="212"/>
      <c r="AY12" s="212"/>
      <c r="AZ12" s="212"/>
      <c r="BA12" s="212"/>
      <c r="BB12" s="212"/>
      <c r="BC12" s="212"/>
      <c r="BD12" s="212"/>
      <c r="BE12" s="212"/>
      <c r="BF12" s="212"/>
      <c r="BG12" s="212"/>
      <c r="BH12" s="212"/>
      <c r="BI12" s="212"/>
      <c r="BJ12" s="212"/>
      <c r="BK12" s="212"/>
      <c r="BL12" s="212"/>
      <c r="BM12" s="212"/>
      <c r="BN12" s="212" t="s">
        <v>60</v>
      </c>
      <c r="BO12" s="212"/>
      <c r="BP12" s="212"/>
      <c r="BQ12" s="212"/>
      <c r="BR12" s="212"/>
      <c r="BS12" s="212"/>
      <c r="BT12" s="212"/>
      <c r="BU12" s="212"/>
      <c r="BV12" s="212"/>
      <c r="BW12" s="212"/>
      <c r="BX12" s="212"/>
      <c r="BY12" s="212"/>
      <c r="BZ12" s="212"/>
      <c r="CA12" s="212"/>
      <c r="CB12" s="212"/>
      <c r="CC12" s="212"/>
      <c r="CD12" s="212"/>
      <c r="CE12" s="212"/>
      <c r="CF12" s="212"/>
      <c r="CG12" s="212"/>
      <c r="CH12" s="212"/>
      <c r="CI12" s="212"/>
      <c r="CJ12" s="212"/>
      <c r="CK12" s="212"/>
      <c r="CL12" s="212"/>
      <c r="CM12" s="212"/>
      <c r="CN12" s="212"/>
      <c r="CO12" s="212"/>
      <c r="CP12" s="212"/>
      <c r="CQ12" s="212"/>
      <c r="CR12" s="212"/>
      <c r="CS12" s="212"/>
      <c r="CT12" s="212"/>
      <c r="CU12" s="212"/>
      <c r="CV12" s="212"/>
      <c r="CW12" s="212"/>
      <c r="CX12" s="212"/>
      <c r="CY12" s="212"/>
      <c r="CZ12" s="212"/>
      <c r="DA12" s="212"/>
      <c r="DB12" s="212"/>
      <c r="DC12" s="212"/>
      <c r="DD12" s="212"/>
      <c r="DE12" s="212"/>
      <c r="DF12" s="212"/>
      <c r="DG12" s="212"/>
      <c r="DH12" s="212"/>
      <c r="DI12" s="212"/>
      <c r="DJ12" s="212"/>
      <c r="DK12" s="212"/>
      <c r="DL12" s="212"/>
      <c r="DM12" s="212"/>
      <c r="DN12" s="212"/>
      <c r="DO12" s="212"/>
      <c r="DP12" s="212"/>
      <c r="DQ12" s="212"/>
      <c r="DR12" s="212"/>
      <c r="DS12" s="212"/>
      <c r="DT12" s="212"/>
      <c r="DU12" s="212"/>
      <c r="DV12" s="191" t="s">
        <v>61</v>
      </c>
      <c r="DW12" s="191"/>
      <c r="DX12" s="191"/>
      <c r="DY12" s="191"/>
      <c r="DZ12" s="191"/>
      <c r="EA12" s="191"/>
      <c r="EB12" s="191"/>
      <c r="EC12" s="191"/>
      <c r="ED12" s="191"/>
      <c r="EE12" s="191"/>
      <c r="EF12" s="191"/>
      <c r="EG12" s="191"/>
      <c r="EH12" s="191"/>
      <c r="EI12" s="191"/>
      <c r="EJ12" s="191"/>
      <c r="EK12" s="191"/>
      <c r="EL12" s="191"/>
      <c r="EM12" s="191"/>
      <c r="EN12" s="191"/>
      <c r="EO12" s="191"/>
      <c r="EP12" s="191"/>
      <c r="EQ12" s="191"/>
      <c r="ER12" s="191"/>
      <c r="ES12" s="191"/>
      <c r="ET12" s="191"/>
      <c r="EU12" s="191"/>
      <c r="EV12" s="191"/>
      <c r="EW12" s="191"/>
      <c r="EX12" s="191"/>
      <c r="EY12" s="191"/>
      <c r="EZ12" s="191"/>
      <c r="FA12" s="191"/>
      <c r="FB12" s="191"/>
      <c r="FC12" s="191"/>
      <c r="FD12" s="191"/>
      <c r="FE12" s="191"/>
      <c r="FF12" s="191"/>
      <c r="FG12" s="191"/>
      <c r="FH12" s="191"/>
      <c r="FI12" s="191"/>
      <c r="FJ12" s="191"/>
      <c r="FK12" s="191"/>
      <c r="FL12" s="191"/>
      <c r="FM12" s="191"/>
      <c r="FN12" s="191"/>
      <c r="FO12" s="191"/>
      <c r="FP12" s="191"/>
      <c r="FQ12" s="191"/>
      <c r="FR12" s="191"/>
      <c r="FS12" s="191"/>
      <c r="FT12" s="191"/>
      <c r="FU12" s="191"/>
      <c r="FV12" s="191"/>
      <c r="FW12" s="191"/>
      <c r="FX12" s="191"/>
      <c r="FY12" s="191"/>
      <c r="FZ12" s="191"/>
      <c r="GA12" s="191"/>
      <c r="GB12" s="191"/>
      <c r="GC12" s="191"/>
      <c r="GD12" s="191" t="s">
        <v>60</v>
      </c>
      <c r="GE12" s="191"/>
      <c r="GF12" s="191"/>
      <c r="GG12" s="191"/>
      <c r="GH12" s="191"/>
      <c r="GI12" s="191"/>
      <c r="GJ12" s="191"/>
      <c r="GK12" s="191"/>
      <c r="GL12" s="191"/>
      <c r="GM12" s="191"/>
      <c r="GN12" s="191"/>
      <c r="GO12" s="191"/>
      <c r="GP12" s="191"/>
      <c r="GQ12" s="191"/>
      <c r="GR12" s="191"/>
      <c r="GS12" s="191"/>
      <c r="GT12" s="191"/>
      <c r="GU12" s="191"/>
      <c r="GV12" s="191"/>
      <c r="GW12" s="191"/>
      <c r="GX12" s="191"/>
      <c r="GY12" s="191"/>
      <c r="GZ12" s="191"/>
      <c r="HA12" s="191"/>
      <c r="HB12" s="191"/>
      <c r="HC12" s="191"/>
      <c r="HD12" s="191"/>
      <c r="HE12" s="191"/>
      <c r="HF12" s="191"/>
      <c r="HG12" s="191"/>
      <c r="HH12" s="191"/>
      <c r="HI12" s="191"/>
      <c r="HJ12" s="191"/>
      <c r="HK12" s="191"/>
      <c r="HL12" s="191"/>
      <c r="HM12" s="191"/>
      <c r="HN12" s="191"/>
      <c r="HO12" s="191"/>
      <c r="HP12" s="191"/>
      <c r="HQ12" s="191"/>
      <c r="HR12" s="191"/>
      <c r="HS12" s="191"/>
      <c r="HT12" s="191"/>
      <c r="HU12" s="191"/>
      <c r="HV12" s="191"/>
      <c r="HW12" s="191"/>
      <c r="HX12" s="191"/>
      <c r="HY12" s="191"/>
      <c r="HZ12" s="191"/>
      <c r="IA12" s="191"/>
      <c r="IB12" s="191"/>
      <c r="IC12" s="191"/>
      <c r="ID12" s="191"/>
      <c r="IE12" s="191"/>
      <c r="IF12" s="191"/>
      <c r="IG12" s="191"/>
      <c r="IH12" s="191"/>
      <c r="II12" s="191"/>
      <c r="IJ12" s="191"/>
      <c r="IK12" s="191"/>
      <c r="IL12" s="191" t="s">
        <v>61</v>
      </c>
      <c r="IM12" s="191"/>
      <c r="IN12" s="191"/>
      <c r="IO12" s="191"/>
      <c r="IP12" s="191"/>
      <c r="IQ12" s="191"/>
      <c r="IR12" s="191"/>
      <c r="IS12" s="191"/>
      <c r="IT12" s="191"/>
      <c r="IU12" s="191"/>
      <c r="IV12" s="191"/>
      <c r="IW12" s="191"/>
      <c r="IX12" s="191"/>
      <c r="IY12" s="191"/>
      <c r="IZ12" s="191"/>
      <c r="JA12" s="191"/>
      <c r="JB12" s="191"/>
      <c r="JC12" s="191"/>
      <c r="JD12" s="191"/>
      <c r="JE12" s="191"/>
      <c r="JF12" s="191"/>
      <c r="JG12" s="191"/>
      <c r="JH12" s="191"/>
      <c r="JI12" s="191"/>
      <c r="JJ12" s="191"/>
      <c r="JK12" s="191"/>
      <c r="JL12" s="191"/>
      <c r="JM12" s="191"/>
      <c r="JN12" s="191"/>
      <c r="JO12" s="191"/>
      <c r="JP12" s="191"/>
      <c r="JQ12" s="191"/>
      <c r="JR12" s="191"/>
      <c r="JS12" s="191"/>
      <c r="JT12" s="191"/>
      <c r="JU12" s="191"/>
      <c r="JV12" s="191"/>
      <c r="JW12" s="191"/>
      <c r="JX12" s="191"/>
      <c r="JY12" s="191"/>
      <c r="JZ12" s="191"/>
      <c r="KA12" s="191"/>
      <c r="KB12" s="191"/>
      <c r="KC12" s="191"/>
      <c r="KD12" s="191"/>
      <c r="KE12" s="191"/>
      <c r="KF12" s="191"/>
      <c r="KG12" s="191"/>
      <c r="KH12" s="191"/>
      <c r="KI12" s="191"/>
      <c r="KJ12" s="191"/>
      <c r="KK12" s="191"/>
      <c r="KL12" s="191"/>
      <c r="KM12" s="191"/>
      <c r="KN12" s="191"/>
      <c r="KO12" s="191"/>
      <c r="KP12" s="191"/>
      <c r="KQ12" s="191"/>
      <c r="KR12" s="191"/>
      <c r="KS12" s="191"/>
      <c r="KT12" s="191" t="s">
        <v>60</v>
      </c>
      <c r="KU12" s="191"/>
      <c r="KV12" s="191"/>
      <c r="KW12" s="191"/>
      <c r="KX12" s="191"/>
      <c r="KY12" s="191"/>
      <c r="KZ12" s="191"/>
      <c r="LA12" s="191"/>
      <c r="LB12" s="191"/>
      <c r="LC12" s="191"/>
      <c r="LD12" s="191"/>
      <c r="LE12" s="191"/>
      <c r="LF12" s="191"/>
      <c r="LG12" s="191"/>
      <c r="LH12" s="191"/>
      <c r="LI12" s="191"/>
      <c r="LJ12" s="191"/>
      <c r="LK12" s="191"/>
      <c r="LL12" s="191"/>
      <c r="LM12" s="191"/>
      <c r="LN12" s="191"/>
      <c r="LO12" s="191"/>
      <c r="LP12" s="191"/>
      <c r="LQ12" s="191"/>
      <c r="LR12" s="191"/>
      <c r="LS12" s="191"/>
      <c r="LT12" s="191"/>
      <c r="LU12" s="191"/>
      <c r="LV12" s="191"/>
      <c r="LW12" s="191"/>
      <c r="LX12" s="191"/>
      <c r="LY12" s="191"/>
      <c r="LZ12" s="191"/>
      <c r="MA12" s="191"/>
      <c r="MB12" s="191"/>
      <c r="MC12" s="191"/>
      <c r="MD12" s="191"/>
      <c r="ME12" s="191"/>
      <c r="MF12" s="191"/>
      <c r="MG12" s="191"/>
      <c r="MH12" s="191"/>
      <c r="MI12" s="191"/>
      <c r="MJ12" s="191"/>
      <c r="MK12" s="191"/>
      <c r="ML12" s="191"/>
      <c r="MM12" s="191"/>
      <c r="MN12" s="191"/>
      <c r="MO12" s="191"/>
      <c r="MP12" s="191"/>
      <c r="MQ12" s="191"/>
      <c r="MR12" s="191"/>
      <c r="MS12" s="191"/>
      <c r="MT12" s="191"/>
      <c r="MU12" s="191"/>
      <c r="MV12" s="191"/>
      <c r="MW12" s="191"/>
      <c r="MX12" s="191"/>
      <c r="MY12" s="191"/>
      <c r="MZ12" s="191"/>
      <c r="NA12" s="191"/>
      <c r="NB12" s="191" t="s">
        <v>61</v>
      </c>
      <c r="NC12" s="191"/>
      <c r="ND12" s="191"/>
      <c r="NE12" s="191"/>
      <c r="NF12" s="191"/>
      <c r="NG12" s="191"/>
      <c r="NH12" s="191"/>
      <c r="NI12" s="191"/>
      <c r="NJ12" s="191"/>
      <c r="NK12" s="191"/>
      <c r="NL12" s="191"/>
      <c r="NM12" s="191"/>
      <c r="NN12" s="191"/>
      <c r="NO12" s="191"/>
      <c r="NP12" s="191"/>
      <c r="NQ12" s="191"/>
      <c r="NR12" s="191"/>
      <c r="NS12" s="191"/>
      <c r="NT12" s="191"/>
      <c r="NU12" s="191"/>
      <c r="NV12" s="191"/>
      <c r="NW12" s="191"/>
      <c r="NX12" s="191"/>
      <c r="NY12" s="191"/>
      <c r="NZ12" s="191"/>
      <c r="OA12" s="191"/>
      <c r="OB12" s="191"/>
      <c r="OC12" s="191"/>
      <c r="OD12" s="191"/>
      <c r="OE12" s="191"/>
      <c r="OF12" s="191"/>
      <c r="OG12" s="191"/>
      <c r="OH12" s="191"/>
      <c r="OI12" s="191"/>
      <c r="OJ12" s="191"/>
      <c r="OK12" s="191"/>
      <c r="OL12" s="191"/>
      <c r="OM12" s="191"/>
      <c r="ON12" s="191"/>
      <c r="OO12" s="191"/>
      <c r="OP12" s="191"/>
      <c r="OQ12" s="191"/>
      <c r="OR12" s="191"/>
      <c r="OS12" s="191"/>
      <c r="OT12" s="191"/>
      <c r="OU12" s="191"/>
      <c r="OV12" s="191"/>
      <c r="OW12" s="191"/>
      <c r="OX12" s="191"/>
      <c r="OY12" s="191"/>
      <c r="OZ12" s="191"/>
      <c r="PA12" s="191"/>
      <c r="PB12" s="191"/>
      <c r="PC12" s="191"/>
      <c r="PD12" s="191"/>
      <c r="PE12" s="191"/>
      <c r="PF12" s="191"/>
      <c r="PG12" s="191"/>
      <c r="PH12" s="191"/>
      <c r="PI12" s="191"/>
      <c r="PJ12" s="191" t="s">
        <v>61</v>
      </c>
      <c r="PK12" s="191"/>
      <c r="PL12" s="191"/>
      <c r="PM12" s="191"/>
      <c r="PN12" s="191"/>
      <c r="PO12" s="191"/>
      <c r="PP12" s="191"/>
      <c r="PQ12" s="191"/>
      <c r="PR12" s="191"/>
      <c r="PS12" s="191"/>
      <c r="PT12" s="191"/>
      <c r="PU12" s="191"/>
      <c r="PV12" s="191"/>
      <c r="PW12" s="191"/>
      <c r="PX12" s="191"/>
      <c r="PY12" s="191"/>
      <c r="PZ12" s="191"/>
      <c r="QA12" s="191"/>
      <c r="QB12" s="191"/>
      <c r="QC12" s="191"/>
      <c r="QD12" s="191"/>
      <c r="QE12" s="191"/>
      <c r="QF12" s="191"/>
      <c r="QG12" s="191"/>
      <c r="QH12" s="191"/>
      <c r="QI12" s="191"/>
      <c r="QJ12" s="191"/>
      <c r="QK12" s="191"/>
      <c r="QL12" s="191"/>
      <c r="QM12" s="191"/>
      <c r="QN12" s="191"/>
      <c r="QO12" s="191"/>
      <c r="QP12" s="191"/>
      <c r="QQ12" s="191"/>
      <c r="QR12" s="191"/>
      <c r="QS12" s="191"/>
      <c r="QT12" s="191"/>
      <c r="QU12" s="191"/>
      <c r="QV12" s="191"/>
      <c r="QW12" s="191"/>
      <c r="QX12" s="191"/>
      <c r="QY12" s="191"/>
      <c r="QZ12" s="191"/>
      <c r="RA12" s="191"/>
      <c r="RB12" s="191"/>
      <c r="RC12" s="191"/>
      <c r="RD12" s="191"/>
      <c r="RE12" s="191"/>
      <c r="RF12" s="191"/>
      <c r="RG12" s="191"/>
      <c r="RH12" s="191"/>
      <c r="RI12" s="191"/>
      <c r="RJ12" s="191"/>
      <c r="RK12" s="191"/>
      <c r="RL12" s="191"/>
      <c r="RM12" s="191"/>
      <c r="RN12" s="191"/>
      <c r="RO12" s="191"/>
      <c r="RP12" s="191"/>
      <c r="RQ12" s="191"/>
      <c r="RR12" s="191" t="s">
        <v>60</v>
      </c>
      <c r="RS12" s="191"/>
      <c r="RT12" s="191"/>
      <c r="RU12" s="191"/>
      <c r="RV12" s="191"/>
      <c r="RW12" s="191"/>
      <c r="RX12" s="191"/>
      <c r="RY12" s="191"/>
      <c r="RZ12" s="191"/>
      <c r="SA12" s="191"/>
      <c r="SB12" s="191"/>
      <c r="SC12" s="191"/>
      <c r="SD12" s="191"/>
      <c r="SE12" s="191"/>
      <c r="SF12" s="191"/>
      <c r="SG12" s="191"/>
      <c r="SH12" s="191"/>
      <c r="SI12" s="191"/>
      <c r="SJ12" s="191"/>
      <c r="SK12" s="191"/>
      <c r="SL12" s="191"/>
      <c r="SM12" s="191"/>
      <c r="SN12" s="191"/>
      <c r="SO12" s="191"/>
      <c r="SP12" s="191"/>
      <c r="SQ12" s="191"/>
      <c r="SR12" s="191"/>
      <c r="SS12" s="191"/>
      <c r="ST12" s="191"/>
      <c r="SU12" s="191"/>
      <c r="SV12" s="191"/>
      <c r="SW12" s="191"/>
      <c r="SX12" s="191"/>
      <c r="SY12" s="191"/>
      <c r="SZ12" s="191"/>
      <c r="TA12" s="191"/>
      <c r="TB12" s="191"/>
      <c r="TC12" s="191"/>
      <c r="TD12" s="191"/>
      <c r="TE12" s="191"/>
      <c r="TF12" s="191"/>
      <c r="TG12" s="191"/>
      <c r="TH12" s="191"/>
      <c r="TI12" s="191"/>
      <c r="TJ12" s="191"/>
      <c r="TK12" s="191"/>
      <c r="TL12" s="191"/>
      <c r="TM12" s="191"/>
      <c r="TN12" s="191"/>
      <c r="TO12" s="191"/>
      <c r="TP12" s="191"/>
      <c r="TQ12" s="191"/>
      <c r="TR12" s="191"/>
      <c r="TS12" s="191"/>
      <c r="TT12" s="191"/>
      <c r="TU12" s="191"/>
      <c r="TV12" s="191"/>
      <c r="TW12" s="191"/>
      <c r="TX12" s="191"/>
      <c r="TY12" s="191"/>
      <c r="TZ12" s="191" t="s">
        <v>61</v>
      </c>
      <c r="UA12" s="191"/>
      <c r="UB12" s="191"/>
      <c r="UC12" s="191"/>
      <c r="UD12" s="191"/>
      <c r="UE12" s="191"/>
      <c r="UF12" s="191"/>
      <c r="UG12" s="191"/>
      <c r="UH12" s="191"/>
      <c r="UI12" s="191"/>
      <c r="UJ12" s="191"/>
      <c r="UK12" s="191"/>
      <c r="UL12" s="191"/>
      <c r="UM12" s="191"/>
      <c r="UN12" s="191"/>
      <c r="UO12" s="191"/>
      <c r="UP12" s="191"/>
      <c r="UQ12" s="191"/>
      <c r="UR12" s="191"/>
      <c r="US12" s="191"/>
      <c r="UT12" s="191"/>
      <c r="UU12" s="191"/>
      <c r="UV12" s="191"/>
      <c r="UW12" s="191"/>
      <c r="UX12" s="191"/>
      <c r="UY12" s="191"/>
      <c r="UZ12" s="191"/>
      <c r="VA12" s="191"/>
      <c r="VB12" s="191"/>
      <c r="VC12" s="191"/>
      <c r="VD12" s="191"/>
      <c r="VE12" s="191"/>
      <c r="VF12" s="191"/>
      <c r="VG12" s="191"/>
      <c r="VH12" s="191"/>
      <c r="VI12" s="191"/>
      <c r="VJ12" s="191"/>
      <c r="VK12" s="191"/>
      <c r="VL12" s="191"/>
      <c r="VM12" s="191"/>
      <c r="VN12" s="191"/>
      <c r="VO12" s="191"/>
      <c r="VP12" s="191"/>
      <c r="VQ12" s="191"/>
      <c r="VR12" s="191"/>
      <c r="VS12" s="191"/>
      <c r="VT12" s="191"/>
      <c r="VU12" s="191"/>
      <c r="VV12" s="191"/>
      <c r="VW12" s="191"/>
      <c r="VX12" s="191"/>
      <c r="VY12" s="191"/>
      <c r="VZ12" s="191"/>
      <c r="WA12" s="191"/>
      <c r="WB12" s="191"/>
      <c r="WC12" s="191"/>
      <c r="WD12" s="191"/>
      <c r="WE12" s="191"/>
      <c r="WF12" s="191"/>
      <c r="WG12" s="191"/>
      <c r="WH12" s="191" t="s">
        <v>60</v>
      </c>
      <c r="WI12" s="191"/>
      <c r="WJ12" s="191"/>
      <c r="WK12" s="191"/>
      <c r="WL12" s="191"/>
      <c r="WM12" s="191"/>
      <c r="WN12" s="191"/>
      <c r="WO12" s="191"/>
      <c r="WP12" s="191"/>
      <c r="WQ12" s="191"/>
      <c r="WR12" s="191"/>
      <c r="WS12" s="191"/>
      <c r="WT12" s="191"/>
      <c r="WU12" s="191"/>
      <c r="WV12" s="191"/>
      <c r="WW12" s="191"/>
      <c r="WX12" s="191"/>
      <c r="WY12" s="191"/>
      <c r="WZ12" s="191"/>
      <c r="XA12" s="191"/>
      <c r="XB12" s="191"/>
      <c r="XC12" s="191"/>
      <c r="XD12" s="191"/>
      <c r="XE12" s="191"/>
      <c r="XF12" s="191"/>
      <c r="XG12" s="191"/>
      <c r="XH12" s="191"/>
      <c r="XI12" s="191"/>
      <c r="XJ12" s="191"/>
      <c r="XK12" s="191"/>
      <c r="XL12" s="191"/>
      <c r="XM12" s="191"/>
      <c r="XN12" s="191"/>
      <c r="XO12" s="191"/>
      <c r="XP12" s="191"/>
      <c r="XQ12" s="191"/>
      <c r="XR12" s="191"/>
      <c r="XS12" s="191"/>
      <c r="XT12" s="191"/>
      <c r="XU12" s="191"/>
      <c r="XV12" s="191"/>
      <c r="XW12" s="191"/>
      <c r="XX12" s="191"/>
      <c r="XY12" s="191"/>
      <c r="XZ12" s="191"/>
      <c r="YA12" s="191"/>
      <c r="YB12" s="191"/>
      <c r="YC12" s="191"/>
      <c r="YD12" s="191"/>
      <c r="YE12" s="191"/>
      <c r="YF12" s="191"/>
      <c r="YG12" s="191"/>
      <c r="YH12" s="191"/>
      <c r="YI12" s="191"/>
      <c r="YJ12" s="191"/>
      <c r="YK12" s="191"/>
      <c r="YL12" s="191"/>
      <c r="YM12" s="191"/>
      <c r="YN12" s="191"/>
      <c r="YO12" s="191"/>
      <c r="YP12" s="191" t="s">
        <v>61</v>
      </c>
      <c r="YQ12" s="191"/>
      <c r="YR12" s="191"/>
      <c r="YS12" s="191"/>
      <c r="YT12" s="191"/>
      <c r="YU12" s="191"/>
      <c r="YV12" s="191"/>
      <c r="YW12" s="191"/>
      <c r="YX12" s="191"/>
      <c r="YY12" s="191"/>
      <c r="YZ12" s="191"/>
      <c r="ZA12" s="191"/>
      <c r="ZB12" s="191"/>
      <c r="ZC12" s="191"/>
      <c r="ZD12" s="191"/>
      <c r="ZE12" s="191"/>
      <c r="ZF12" s="191"/>
      <c r="ZG12" s="191"/>
      <c r="ZH12" s="191"/>
      <c r="ZI12" s="191"/>
      <c r="ZJ12" s="191"/>
      <c r="ZK12" s="191"/>
      <c r="ZL12" s="191"/>
      <c r="ZM12" s="191"/>
      <c r="ZN12" s="191"/>
      <c r="ZO12" s="191"/>
      <c r="ZP12" s="191"/>
      <c r="ZQ12" s="191"/>
      <c r="ZR12" s="191"/>
      <c r="ZS12" s="191"/>
      <c r="ZT12" s="191"/>
      <c r="ZU12" s="191"/>
      <c r="ZV12" s="191"/>
      <c r="ZW12" s="191"/>
      <c r="ZX12" s="191"/>
      <c r="ZY12" s="191"/>
      <c r="ZZ12" s="191"/>
      <c r="AAA12" s="191"/>
      <c r="AAB12" s="191"/>
      <c r="AAC12" s="191"/>
      <c r="AAD12" s="191"/>
      <c r="AAE12" s="191"/>
      <c r="AAF12" s="191"/>
      <c r="AAG12" s="191"/>
      <c r="AAH12" s="191"/>
      <c r="AAI12" s="191"/>
      <c r="AAJ12" s="191"/>
      <c r="AAK12" s="191"/>
      <c r="AAL12" s="191"/>
      <c r="AAM12" s="191"/>
      <c r="AAN12" s="191"/>
      <c r="AAO12" s="191"/>
      <c r="AAP12" s="191"/>
      <c r="AAQ12" s="191"/>
      <c r="AAR12" s="191"/>
      <c r="AAS12" s="191"/>
      <c r="AAT12" s="191"/>
      <c r="AAU12" s="191"/>
      <c r="AAV12" s="191"/>
      <c r="AAW12" s="191"/>
      <c r="AAX12" s="191" t="s">
        <v>61</v>
      </c>
      <c r="AAY12" s="191"/>
      <c r="AAZ12" s="191"/>
      <c r="ABA12" s="191"/>
      <c r="ABB12" s="191"/>
      <c r="ABC12" s="191"/>
      <c r="ABD12" s="191"/>
      <c r="ABE12" s="191"/>
      <c r="ABF12" s="191"/>
      <c r="ABG12" s="191"/>
      <c r="ABH12" s="191"/>
      <c r="ABI12" s="191"/>
      <c r="ABJ12" s="191"/>
      <c r="ABK12" s="191"/>
      <c r="ABL12" s="191"/>
      <c r="ABM12" s="191"/>
      <c r="ABN12" s="191"/>
      <c r="ABO12" s="191"/>
      <c r="ABP12" s="191"/>
      <c r="ABQ12" s="191"/>
      <c r="ABR12" s="191"/>
      <c r="ABS12" s="191"/>
      <c r="ABT12" s="191"/>
      <c r="ABU12" s="191"/>
      <c r="ABV12" s="191"/>
      <c r="ABW12" s="191"/>
      <c r="ABX12" s="191"/>
      <c r="ABY12" s="191"/>
      <c r="ABZ12" s="191"/>
      <c r="ACA12" s="191"/>
      <c r="ACB12" s="191"/>
      <c r="ACC12" s="191"/>
      <c r="ACD12" s="191"/>
      <c r="ACE12" s="191"/>
      <c r="ACF12" s="191"/>
      <c r="ACG12" s="191"/>
      <c r="ACH12" s="191"/>
      <c r="ACI12" s="191"/>
      <c r="ACJ12" s="191"/>
      <c r="ACK12" s="191"/>
      <c r="ACL12" s="191"/>
      <c r="ACM12" s="191"/>
      <c r="ACN12" s="191"/>
      <c r="ACO12" s="191"/>
      <c r="ACP12" s="191"/>
      <c r="ACQ12" s="191"/>
      <c r="ACR12" s="191"/>
      <c r="ACS12" s="191"/>
      <c r="ACT12" s="191"/>
      <c r="ACU12" s="191"/>
      <c r="ACV12" s="191"/>
      <c r="ACW12" s="191"/>
      <c r="ACX12" s="191"/>
      <c r="ACY12" s="191"/>
      <c r="ACZ12" s="191"/>
      <c r="ADA12" s="191"/>
      <c r="ADB12" s="191"/>
      <c r="ADC12" s="191"/>
      <c r="ADD12" s="191"/>
      <c r="ADE12" s="191"/>
      <c r="ADF12" s="191" t="s">
        <v>60</v>
      </c>
      <c r="ADG12" s="191"/>
      <c r="ADH12" s="191"/>
      <c r="ADI12" s="191"/>
      <c r="ADJ12" s="191"/>
      <c r="ADK12" s="191"/>
      <c r="ADL12" s="191"/>
      <c r="ADM12" s="191"/>
      <c r="ADN12" s="191"/>
      <c r="ADO12" s="191"/>
      <c r="ADP12" s="191"/>
      <c r="ADQ12" s="191"/>
      <c r="ADR12" s="191"/>
      <c r="ADS12" s="191"/>
      <c r="ADT12" s="191"/>
      <c r="ADU12" s="191"/>
      <c r="ADV12" s="191"/>
      <c r="ADW12" s="191"/>
      <c r="ADX12" s="191"/>
      <c r="ADY12" s="191"/>
      <c r="ADZ12" s="191"/>
      <c r="AEA12" s="191"/>
      <c r="AEB12" s="191"/>
      <c r="AEC12" s="191"/>
      <c r="AED12" s="191"/>
      <c r="AEE12" s="191"/>
      <c r="AEF12" s="191"/>
      <c r="AEG12" s="191"/>
      <c r="AEH12" s="191"/>
      <c r="AEI12" s="191"/>
      <c r="AEJ12" s="191"/>
      <c r="AEK12" s="191"/>
      <c r="AEL12" s="191"/>
      <c r="AEM12" s="191"/>
      <c r="AEN12" s="191"/>
      <c r="AEO12" s="191"/>
      <c r="AEP12" s="191"/>
      <c r="AEQ12" s="191"/>
      <c r="AER12" s="191"/>
      <c r="AES12" s="191"/>
      <c r="AET12" s="191"/>
      <c r="AEU12" s="191"/>
      <c r="AEV12" s="191"/>
      <c r="AEW12" s="191"/>
      <c r="AEX12" s="191"/>
      <c r="AEY12" s="191"/>
      <c r="AEZ12" s="191"/>
      <c r="AFA12" s="191"/>
      <c r="AFB12" s="191"/>
      <c r="AFC12" s="191"/>
      <c r="AFD12" s="191"/>
      <c r="AFE12" s="191"/>
      <c r="AFF12" s="191"/>
      <c r="AFG12" s="191"/>
      <c r="AFH12" s="191"/>
      <c r="AFI12" s="191"/>
      <c r="AFJ12" s="191"/>
      <c r="AFK12" s="191"/>
      <c r="AFL12" s="191"/>
      <c r="AFM12" s="191"/>
      <c r="AFN12" s="191" t="s">
        <v>61</v>
      </c>
      <c r="AFO12" s="191"/>
      <c r="AFP12" s="191"/>
      <c r="AFQ12" s="191"/>
      <c r="AFR12" s="191"/>
      <c r="AFS12" s="191"/>
      <c r="AFT12" s="191"/>
      <c r="AFU12" s="191"/>
      <c r="AFV12" s="191"/>
      <c r="AFW12" s="191"/>
      <c r="AFX12" s="191"/>
      <c r="AFY12" s="191"/>
      <c r="AFZ12" s="191"/>
      <c r="AGA12" s="191"/>
      <c r="AGB12" s="191"/>
      <c r="AGC12" s="191"/>
      <c r="AGD12" s="191"/>
      <c r="AGE12" s="191"/>
      <c r="AGF12" s="191"/>
      <c r="AGG12" s="191"/>
      <c r="AGH12" s="191"/>
      <c r="AGI12" s="191"/>
      <c r="AGJ12" s="191"/>
      <c r="AGK12" s="191"/>
      <c r="AGL12" s="191"/>
      <c r="AGM12" s="191"/>
      <c r="AGN12" s="191"/>
      <c r="AGO12" s="191"/>
      <c r="AGP12" s="191"/>
      <c r="AGQ12" s="191"/>
      <c r="AGR12" s="191"/>
      <c r="AGS12" s="191"/>
      <c r="AGT12" s="191"/>
      <c r="AGU12" s="191"/>
      <c r="AGV12" s="191"/>
      <c r="AGW12" s="191"/>
      <c r="AGX12" s="191"/>
      <c r="AGY12" s="191"/>
      <c r="AGZ12" s="191"/>
      <c r="AHA12" s="191"/>
      <c r="AHB12" s="191"/>
      <c r="AHC12" s="191"/>
      <c r="AHD12" s="191"/>
      <c r="AHE12" s="191"/>
      <c r="AHF12" s="191"/>
      <c r="AHG12" s="191"/>
      <c r="AHH12" s="191"/>
      <c r="AHI12" s="191"/>
      <c r="AHJ12" s="191"/>
      <c r="AHK12" s="191"/>
      <c r="AHL12" s="191"/>
      <c r="AHM12" s="191"/>
      <c r="AHN12" s="191"/>
      <c r="AHO12" s="191"/>
      <c r="AHP12" s="191"/>
      <c r="AHQ12" s="191"/>
      <c r="AHR12" s="191"/>
      <c r="AHS12" s="191"/>
      <c r="AHT12" s="191"/>
      <c r="AHU12" s="191"/>
      <c r="AHV12" s="191" t="s">
        <v>60</v>
      </c>
      <c r="AHW12" s="191"/>
      <c r="AHX12" s="191"/>
      <c r="AHY12" s="191"/>
      <c r="AHZ12" s="191"/>
      <c r="AIA12" s="191"/>
      <c r="AIB12" s="191"/>
      <c r="AIC12" s="191"/>
      <c r="AID12" s="191"/>
      <c r="AIE12" s="191"/>
      <c r="AIF12" s="191"/>
      <c r="AIG12" s="191"/>
      <c r="AIH12" s="191"/>
      <c r="AII12" s="191"/>
      <c r="AIJ12" s="191"/>
      <c r="AIK12" s="191"/>
      <c r="AIL12" s="191"/>
      <c r="AIM12" s="191"/>
      <c r="AIN12" s="191"/>
      <c r="AIO12" s="191"/>
      <c r="AIP12" s="191"/>
      <c r="AIQ12" s="191"/>
      <c r="AIR12" s="191"/>
      <c r="AIS12" s="191"/>
      <c r="AIT12" s="191"/>
      <c r="AIU12" s="191"/>
      <c r="AIV12" s="191"/>
      <c r="AIW12" s="191"/>
      <c r="AIX12" s="191"/>
      <c r="AIY12" s="191"/>
      <c r="AIZ12" s="191"/>
      <c r="AJA12" s="191"/>
      <c r="AJB12" s="191"/>
      <c r="AJC12" s="191"/>
      <c r="AJD12" s="191"/>
      <c r="AJE12" s="191"/>
      <c r="AJF12" s="191"/>
      <c r="AJG12" s="191"/>
      <c r="AJH12" s="191"/>
      <c r="AJI12" s="191"/>
      <c r="AJJ12" s="191"/>
      <c r="AJK12" s="191"/>
      <c r="AJL12" s="191"/>
      <c r="AJM12" s="191"/>
      <c r="AJN12" s="191"/>
      <c r="AJO12" s="191"/>
      <c r="AJP12" s="191"/>
      <c r="AJQ12" s="191"/>
      <c r="AJR12" s="191"/>
      <c r="AJS12" s="191"/>
      <c r="AJT12" s="191"/>
      <c r="AJU12" s="191"/>
      <c r="AJV12" s="191"/>
      <c r="AJW12" s="191"/>
      <c r="AJX12" s="191"/>
      <c r="AJY12" s="191"/>
      <c r="AJZ12" s="191"/>
      <c r="AKA12" s="191"/>
      <c r="AKB12" s="191"/>
      <c r="AKC12" s="191"/>
      <c r="AKD12" s="191" t="s">
        <v>61</v>
      </c>
      <c r="AKE12" s="191"/>
      <c r="AKF12" s="191"/>
      <c r="AKG12" s="191"/>
      <c r="AKH12" s="191"/>
      <c r="AKI12" s="191"/>
      <c r="AKJ12" s="191"/>
      <c r="AKK12" s="191"/>
      <c r="AKL12" s="191"/>
      <c r="AKM12" s="191"/>
      <c r="AKN12" s="191"/>
      <c r="AKO12" s="191"/>
      <c r="AKP12" s="191"/>
      <c r="AKQ12" s="191"/>
      <c r="AKR12" s="191"/>
      <c r="AKS12" s="191"/>
      <c r="AKT12" s="191"/>
      <c r="AKU12" s="191"/>
      <c r="AKV12" s="191"/>
      <c r="AKW12" s="191"/>
      <c r="AKX12" s="191"/>
      <c r="AKY12" s="191"/>
      <c r="AKZ12" s="191"/>
      <c r="ALA12" s="191"/>
      <c r="ALB12" s="191"/>
      <c r="ALC12" s="191"/>
      <c r="ALD12" s="191"/>
      <c r="ALE12" s="191"/>
      <c r="ALF12" s="191"/>
      <c r="ALG12" s="191"/>
      <c r="ALH12" s="191"/>
      <c r="ALI12" s="191"/>
      <c r="ALJ12" s="191"/>
      <c r="ALK12" s="191"/>
      <c r="ALL12" s="191"/>
      <c r="ALM12" s="191"/>
      <c r="ALN12" s="191"/>
      <c r="ALO12" s="191"/>
      <c r="ALP12" s="191"/>
      <c r="ALQ12" s="191"/>
      <c r="ALR12" s="191"/>
      <c r="ALS12" s="191"/>
      <c r="ALT12" s="191"/>
      <c r="ALU12" s="191"/>
      <c r="ALV12" s="191"/>
      <c r="ALW12" s="191"/>
      <c r="ALX12" s="191"/>
      <c r="ALY12" s="191"/>
      <c r="ALZ12" s="191"/>
      <c r="AMA12" s="191"/>
      <c r="AMB12" s="191"/>
      <c r="AMC12" s="191"/>
      <c r="AMD12" s="191"/>
      <c r="AME12" s="191"/>
      <c r="AMF12" s="191"/>
      <c r="AMG12" s="191"/>
      <c r="AMH12" s="191"/>
      <c r="AMI12" s="191"/>
      <c r="AMJ12" s="191"/>
      <c r="AMK12" s="191"/>
      <c r="AML12" s="191" t="s">
        <v>60</v>
      </c>
      <c r="AMM12" s="191"/>
      <c r="AMN12" s="191"/>
      <c r="AMO12" s="191"/>
      <c r="AMP12" s="191"/>
      <c r="AMQ12" s="191"/>
      <c r="AMR12" s="191"/>
      <c r="AMS12" s="191"/>
      <c r="AMT12" s="191"/>
      <c r="AMU12" s="191"/>
      <c r="AMV12" s="191"/>
      <c r="AMW12" s="191"/>
      <c r="AMX12" s="191"/>
      <c r="AMY12" s="191"/>
      <c r="AMZ12" s="191"/>
      <c r="ANA12" s="191"/>
      <c r="ANB12" s="191"/>
      <c r="ANC12" s="191"/>
      <c r="AND12" s="191"/>
      <c r="ANE12" s="191"/>
      <c r="ANF12" s="191"/>
      <c r="ANG12" s="191"/>
      <c r="ANH12" s="191"/>
      <c r="ANI12" s="191"/>
      <c r="ANJ12" s="191"/>
      <c r="ANK12" s="191"/>
      <c r="ANL12" s="191"/>
      <c r="ANM12" s="191"/>
      <c r="ANN12" s="191"/>
      <c r="ANO12" s="191"/>
      <c r="ANP12" s="191"/>
      <c r="ANQ12" s="191"/>
      <c r="ANR12" s="191"/>
      <c r="ANS12" s="191"/>
      <c r="ANT12" s="191"/>
      <c r="ANU12" s="191"/>
      <c r="ANV12" s="191"/>
      <c r="ANW12" s="191"/>
      <c r="ANX12" s="191"/>
      <c r="ANY12" s="191"/>
      <c r="ANZ12" s="191"/>
      <c r="AOA12" s="191"/>
      <c r="AOB12" s="191"/>
      <c r="AOC12" s="191"/>
      <c r="AOD12" s="191"/>
      <c r="AOE12" s="191"/>
      <c r="AOF12" s="191"/>
      <c r="AOG12" s="191"/>
      <c r="AOH12" s="191"/>
      <c r="AOI12" s="191"/>
      <c r="AOJ12" s="191"/>
      <c r="AOK12" s="191"/>
      <c r="AOL12" s="191"/>
      <c r="AOM12" s="191"/>
      <c r="AON12" s="191"/>
      <c r="AOO12" s="191"/>
      <c r="AOP12" s="191"/>
      <c r="AOQ12" s="191"/>
      <c r="AOR12" s="191"/>
      <c r="AOS12" s="191"/>
      <c r="AOT12" s="191" t="s">
        <v>61</v>
      </c>
      <c r="AOU12" s="191"/>
      <c r="AOV12" s="191"/>
      <c r="AOW12" s="191"/>
      <c r="AOX12" s="191"/>
      <c r="AOY12" s="191"/>
      <c r="AOZ12" s="191"/>
      <c r="APA12" s="191"/>
      <c r="APB12" s="191"/>
      <c r="APC12" s="191"/>
      <c r="APD12" s="191"/>
      <c r="APE12" s="191"/>
      <c r="APF12" s="191"/>
      <c r="APG12" s="191"/>
      <c r="APH12" s="191"/>
      <c r="API12" s="191"/>
      <c r="APJ12" s="191"/>
      <c r="APK12" s="191"/>
      <c r="APL12" s="191"/>
      <c r="APM12" s="191"/>
      <c r="APN12" s="191"/>
      <c r="APO12" s="191"/>
      <c r="APP12" s="191"/>
      <c r="APQ12" s="191"/>
      <c r="APR12" s="191"/>
      <c r="APS12" s="191"/>
      <c r="APT12" s="191"/>
      <c r="APU12" s="191"/>
      <c r="APV12" s="191"/>
      <c r="APW12" s="191"/>
      <c r="APX12" s="191"/>
      <c r="APY12" s="191"/>
      <c r="APZ12" s="191"/>
      <c r="AQA12" s="191"/>
      <c r="AQB12" s="191"/>
      <c r="AQC12" s="191"/>
      <c r="AQD12" s="191"/>
      <c r="AQE12" s="191"/>
      <c r="AQF12" s="191"/>
      <c r="AQG12" s="191"/>
      <c r="AQH12" s="191"/>
      <c r="AQI12" s="191"/>
      <c r="AQJ12" s="191"/>
      <c r="AQK12" s="191"/>
      <c r="AQL12" s="191"/>
      <c r="AQM12" s="191"/>
      <c r="AQN12" s="191"/>
      <c r="AQO12" s="191"/>
      <c r="AQP12" s="191"/>
      <c r="AQQ12" s="191"/>
      <c r="AQR12" s="191"/>
      <c r="AQS12" s="191"/>
      <c r="AQT12" s="191"/>
      <c r="AQU12" s="191"/>
      <c r="AQV12" s="191"/>
      <c r="AQW12" s="191"/>
      <c r="AQX12" s="191"/>
      <c r="AQY12" s="191"/>
      <c r="AQZ12" s="191"/>
      <c r="ARA12" s="191"/>
      <c r="ARB12" s="191" t="s">
        <v>61</v>
      </c>
      <c r="ARC12" s="191"/>
      <c r="ARD12" s="191"/>
      <c r="ARE12" s="191"/>
      <c r="ARF12" s="191"/>
      <c r="ARG12" s="191"/>
      <c r="ARH12" s="191"/>
      <c r="ARI12" s="191"/>
      <c r="ARJ12" s="191"/>
      <c r="ARK12" s="191"/>
      <c r="ARL12" s="191"/>
      <c r="ARM12" s="191"/>
      <c r="ARN12" s="191"/>
      <c r="ARO12" s="191"/>
      <c r="ARP12" s="191"/>
      <c r="ARQ12" s="191"/>
      <c r="ARR12" s="191"/>
      <c r="ARS12" s="191"/>
      <c r="ART12" s="191"/>
      <c r="ARU12" s="191"/>
      <c r="ARV12" s="191"/>
      <c r="ARW12" s="191"/>
      <c r="ARX12" s="191"/>
      <c r="ARY12" s="191"/>
      <c r="ARZ12" s="191"/>
      <c r="ASA12" s="191"/>
      <c r="ASB12" s="191"/>
      <c r="ASC12" s="191"/>
      <c r="ASD12" s="191"/>
      <c r="ASE12" s="191"/>
      <c r="ASF12" s="191"/>
      <c r="ASG12" s="191"/>
      <c r="ASH12" s="191"/>
      <c r="ASI12" s="191"/>
      <c r="ASJ12" s="191"/>
      <c r="ASK12" s="191"/>
      <c r="ASL12" s="191"/>
      <c r="ASM12" s="191"/>
      <c r="ASN12" s="191"/>
      <c r="ASO12" s="191"/>
      <c r="ASP12" s="191"/>
      <c r="ASQ12" s="191"/>
      <c r="ASR12" s="191"/>
      <c r="ASS12" s="191"/>
      <c r="AST12" s="191"/>
      <c r="ASU12" s="191"/>
      <c r="ASV12" s="191"/>
      <c r="ASW12" s="191"/>
      <c r="ASX12" s="191"/>
      <c r="ASY12" s="191"/>
      <c r="ASZ12" s="191"/>
      <c r="ATA12" s="191"/>
      <c r="ATB12" s="191"/>
      <c r="ATC12" s="191"/>
      <c r="ATD12" s="191"/>
      <c r="ATE12" s="191"/>
      <c r="ATF12" s="191"/>
      <c r="ATG12" s="191"/>
      <c r="ATH12" s="191"/>
      <c r="ATI12" s="191"/>
      <c r="ATJ12" s="191" t="s">
        <v>60</v>
      </c>
      <c r="ATK12" s="191"/>
      <c r="ATL12" s="191"/>
      <c r="ATM12" s="191"/>
      <c r="ATN12" s="191"/>
      <c r="ATO12" s="191"/>
      <c r="ATP12" s="191"/>
      <c r="ATQ12" s="191"/>
      <c r="ATR12" s="191"/>
      <c r="ATS12" s="191"/>
      <c r="ATT12" s="191"/>
      <c r="ATU12" s="191"/>
      <c r="ATV12" s="191"/>
      <c r="ATW12" s="191"/>
      <c r="ATX12" s="191"/>
      <c r="ATY12" s="191"/>
      <c r="ATZ12" s="191"/>
      <c r="AUA12" s="191"/>
      <c r="AUB12" s="191"/>
      <c r="AUC12" s="191"/>
      <c r="AUD12" s="191"/>
      <c r="AUE12" s="191"/>
      <c r="AUF12" s="191"/>
      <c r="AUG12" s="191"/>
      <c r="AUH12" s="191"/>
      <c r="AUI12" s="191"/>
      <c r="AUJ12" s="191"/>
      <c r="AUK12" s="191"/>
      <c r="AUL12" s="191"/>
      <c r="AUM12" s="191"/>
      <c r="AUN12" s="191"/>
      <c r="AUO12" s="191"/>
      <c r="AUP12" s="191"/>
      <c r="AUQ12" s="191"/>
      <c r="AUR12" s="191"/>
      <c r="AUS12" s="191"/>
      <c r="AUT12" s="191"/>
      <c r="AUU12" s="191"/>
      <c r="AUV12" s="191"/>
      <c r="AUW12" s="191"/>
      <c r="AUX12" s="191"/>
      <c r="AUY12" s="191"/>
      <c r="AUZ12" s="191"/>
      <c r="AVA12" s="191"/>
      <c r="AVB12" s="191"/>
      <c r="AVC12" s="191"/>
      <c r="AVD12" s="191"/>
      <c r="AVE12" s="191"/>
      <c r="AVF12" s="191"/>
      <c r="AVG12" s="191"/>
      <c r="AVH12" s="191"/>
      <c r="AVI12" s="191"/>
      <c r="AVJ12" s="191"/>
      <c r="AVK12" s="191"/>
      <c r="AVL12" s="191"/>
      <c r="AVM12" s="191"/>
      <c r="AVN12" s="191"/>
      <c r="AVO12" s="191"/>
      <c r="AVP12" s="191"/>
      <c r="AVQ12" s="191"/>
      <c r="AVR12" s="191" t="s">
        <v>61</v>
      </c>
      <c r="AVS12" s="191"/>
      <c r="AVT12" s="191"/>
      <c r="AVU12" s="191"/>
      <c r="AVV12" s="191"/>
      <c r="AVW12" s="191"/>
      <c r="AVX12" s="191"/>
      <c r="AVY12" s="191"/>
      <c r="AVZ12" s="191"/>
      <c r="AWA12" s="191"/>
      <c r="AWB12" s="191"/>
      <c r="AWC12" s="191"/>
      <c r="AWD12" s="191"/>
      <c r="AWE12" s="191"/>
      <c r="AWF12" s="191"/>
      <c r="AWG12" s="191"/>
      <c r="AWH12" s="191"/>
      <c r="AWI12" s="191"/>
      <c r="AWJ12" s="191"/>
      <c r="AWK12" s="191"/>
      <c r="AWL12" s="191"/>
      <c r="AWM12" s="191"/>
      <c r="AWN12" s="191"/>
      <c r="AWO12" s="191"/>
      <c r="AWP12" s="191"/>
      <c r="AWQ12" s="191"/>
      <c r="AWR12" s="191"/>
      <c r="AWS12" s="191"/>
      <c r="AWT12" s="191"/>
      <c r="AWU12" s="191"/>
      <c r="AWV12" s="191"/>
      <c r="AWW12" s="191"/>
      <c r="AWX12" s="191"/>
      <c r="AWY12" s="191"/>
      <c r="AWZ12" s="191"/>
      <c r="AXA12" s="191"/>
      <c r="AXB12" s="191"/>
      <c r="AXC12" s="191"/>
      <c r="AXD12" s="191"/>
      <c r="AXE12" s="191"/>
      <c r="AXF12" s="191"/>
      <c r="AXG12" s="191"/>
      <c r="AXH12" s="191"/>
      <c r="AXI12" s="191"/>
      <c r="AXJ12" s="191"/>
      <c r="AXK12" s="191"/>
      <c r="AXL12" s="191"/>
      <c r="AXM12" s="191"/>
      <c r="AXN12" s="191"/>
      <c r="AXO12" s="191"/>
      <c r="AXP12" s="191"/>
      <c r="AXQ12" s="191"/>
      <c r="AXR12" s="191"/>
      <c r="AXS12" s="191"/>
      <c r="AXT12" s="191"/>
      <c r="AXU12" s="191"/>
      <c r="AXV12" s="191"/>
      <c r="AXW12" s="191"/>
      <c r="AXX12" s="191"/>
      <c r="AXY12" s="191"/>
      <c r="AXZ12" s="191" t="s">
        <v>60</v>
      </c>
      <c r="AYA12" s="191"/>
      <c r="AYB12" s="191"/>
      <c r="AYC12" s="191"/>
      <c r="AYD12" s="191"/>
      <c r="AYE12" s="191"/>
      <c r="AYF12" s="191"/>
      <c r="AYG12" s="191"/>
      <c r="AYH12" s="191"/>
      <c r="AYI12" s="191"/>
      <c r="AYJ12" s="191"/>
      <c r="AYK12" s="191"/>
      <c r="AYL12" s="191"/>
      <c r="AYM12" s="191"/>
      <c r="AYN12" s="191"/>
      <c r="AYO12" s="191"/>
      <c r="AYP12" s="191"/>
      <c r="AYQ12" s="191"/>
      <c r="AYR12" s="191"/>
      <c r="AYS12" s="191"/>
      <c r="AYT12" s="191"/>
      <c r="AYU12" s="191"/>
      <c r="AYV12" s="191"/>
      <c r="AYW12" s="191"/>
      <c r="AYX12" s="191"/>
      <c r="AYY12" s="191"/>
      <c r="AYZ12" s="191"/>
      <c r="AZA12" s="191"/>
      <c r="AZB12" s="191"/>
      <c r="AZC12" s="191"/>
      <c r="AZD12" s="191"/>
      <c r="AZE12" s="191"/>
      <c r="AZF12" s="191"/>
      <c r="AZG12" s="191"/>
      <c r="AZH12" s="191"/>
      <c r="AZI12" s="191"/>
      <c r="AZJ12" s="191"/>
      <c r="AZK12" s="191"/>
      <c r="AZL12" s="191"/>
      <c r="AZM12" s="191"/>
      <c r="AZN12" s="191"/>
      <c r="AZO12" s="191"/>
      <c r="AZP12" s="191"/>
      <c r="AZQ12" s="191"/>
      <c r="AZR12" s="191"/>
      <c r="AZS12" s="191"/>
      <c r="AZT12" s="191"/>
      <c r="AZU12" s="191"/>
      <c r="AZV12" s="191"/>
      <c r="AZW12" s="191"/>
      <c r="AZX12" s="191"/>
      <c r="AZY12" s="191"/>
      <c r="AZZ12" s="191"/>
      <c r="BAA12" s="191"/>
      <c r="BAB12" s="191"/>
      <c r="BAC12" s="191"/>
      <c r="BAD12" s="191"/>
      <c r="BAE12" s="191"/>
      <c r="BAF12" s="191"/>
      <c r="BAG12" s="191"/>
      <c r="BAH12" s="191" t="s">
        <v>61</v>
      </c>
      <c r="BAI12" s="191"/>
      <c r="BAJ12" s="191"/>
      <c r="BAK12" s="191"/>
      <c r="BAL12" s="191"/>
      <c r="BAM12" s="191"/>
      <c r="BAN12" s="191"/>
      <c r="BAO12" s="191"/>
      <c r="BAP12" s="191"/>
      <c r="BAQ12" s="191"/>
      <c r="BAR12" s="191"/>
      <c r="BAS12" s="191"/>
      <c r="BAT12" s="191"/>
      <c r="BAU12" s="191"/>
      <c r="BAV12" s="191"/>
      <c r="BAW12" s="191"/>
      <c r="BAX12" s="191"/>
      <c r="BAY12" s="191"/>
      <c r="BAZ12" s="191"/>
      <c r="BBA12" s="191"/>
      <c r="BBB12" s="191"/>
      <c r="BBC12" s="191"/>
      <c r="BBD12" s="191"/>
      <c r="BBE12" s="191"/>
      <c r="BBF12" s="191"/>
      <c r="BBG12" s="191"/>
      <c r="BBH12" s="191"/>
      <c r="BBI12" s="191"/>
      <c r="BBJ12" s="191"/>
      <c r="BBK12" s="191"/>
      <c r="BBL12" s="191"/>
      <c r="BBM12" s="191"/>
      <c r="BBN12" s="191"/>
      <c r="BBO12" s="191"/>
      <c r="BBP12" s="191"/>
      <c r="BBQ12" s="191"/>
      <c r="BBR12" s="191"/>
      <c r="BBS12" s="191"/>
      <c r="BBT12" s="191"/>
      <c r="BBU12" s="191"/>
      <c r="BBV12" s="191"/>
      <c r="BBW12" s="191"/>
      <c r="BBX12" s="191"/>
      <c r="BBY12" s="191"/>
      <c r="BBZ12" s="191"/>
      <c r="BCA12" s="191"/>
      <c r="BCB12" s="191"/>
      <c r="BCC12" s="191"/>
      <c r="BCD12" s="191"/>
      <c r="BCE12" s="191"/>
      <c r="BCF12" s="191"/>
      <c r="BCG12" s="191"/>
      <c r="BCH12" s="191"/>
      <c r="BCI12" s="191"/>
      <c r="BCJ12" s="191"/>
      <c r="BCK12" s="191"/>
      <c r="BCL12" s="191"/>
      <c r="BCM12" s="191"/>
      <c r="BCN12" s="191"/>
      <c r="BCO12" s="191"/>
      <c r="BCP12" s="191" t="s">
        <v>60</v>
      </c>
      <c r="BCQ12" s="191"/>
      <c r="BCR12" s="191"/>
      <c r="BCS12" s="191"/>
      <c r="BCT12" s="191"/>
      <c r="BCU12" s="191"/>
      <c r="BCV12" s="191"/>
      <c r="BCW12" s="191"/>
      <c r="BCX12" s="191"/>
      <c r="BCY12" s="191"/>
      <c r="BCZ12" s="191"/>
      <c r="BDA12" s="191"/>
      <c r="BDB12" s="191"/>
      <c r="BDC12" s="191"/>
      <c r="BDD12" s="191"/>
      <c r="BDE12" s="191"/>
      <c r="BDF12" s="191"/>
      <c r="BDG12" s="191"/>
      <c r="BDH12" s="191"/>
      <c r="BDI12" s="191"/>
      <c r="BDJ12" s="191"/>
      <c r="BDK12" s="191"/>
      <c r="BDL12" s="191"/>
      <c r="BDM12" s="191"/>
      <c r="BDN12" s="191"/>
      <c r="BDO12" s="191"/>
      <c r="BDP12" s="191"/>
      <c r="BDQ12" s="191"/>
      <c r="BDR12" s="191"/>
      <c r="BDS12" s="191"/>
      <c r="BDT12" s="191"/>
      <c r="BDU12" s="191"/>
      <c r="BDV12" s="191"/>
      <c r="BDW12" s="191"/>
      <c r="BDX12" s="191"/>
      <c r="BDY12" s="191"/>
      <c r="BDZ12" s="191"/>
      <c r="BEA12" s="191"/>
      <c r="BEB12" s="191"/>
      <c r="BEC12" s="191"/>
      <c r="BED12" s="191"/>
      <c r="BEE12" s="191"/>
      <c r="BEF12" s="191"/>
      <c r="BEG12" s="191"/>
      <c r="BEH12" s="191"/>
      <c r="BEI12" s="191"/>
      <c r="BEJ12" s="191"/>
      <c r="BEK12" s="191"/>
      <c r="BEL12" s="191"/>
      <c r="BEM12" s="191"/>
      <c r="BEN12" s="191"/>
      <c r="BEO12" s="191"/>
      <c r="BEP12" s="191"/>
      <c r="BEQ12" s="191"/>
      <c r="BER12" s="191"/>
      <c r="BES12" s="191"/>
      <c r="BET12" s="191"/>
      <c r="BEU12" s="191"/>
      <c r="BEV12" s="191"/>
      <c r="BEW12" s="191"/>
      <c r="BEX12" s="191" t="s">
        <v>61</v>
      </c>
      <c r="BEY12" s="191"/>
      <c r="BEZ12" s="191"/>
      <c r="BFA12" s="191"/>
      <c r="BFB12" s="191"/>
      <c r="BFC12" s="191"/>
      <c r="BFD12" s="191"/>
      <c r="BFE12" s="191"/>
      <c r="BFF12" s="191"/>
      <c r="BFG12" s="191"/>
      <c r="BFH12" s="191"/>
      <c r="BFI12" s="191"/>
      <c r="BFJ12" s="191"/>
      <c r="BFK12" s="191"/>
      <c r="BFL12" s="191"/>
      <c r="BFM12" s="191"/>
      <c r="BFN12" s="191"/>
      <c r="BFO12" s="191"/>
      <c r="BFP12" s="191"/>
      <c r="BFQ12" s="191"/>
      <c r="BFR12" s="191"/>
      <c r="BFS12" s="191"/>
      <c r="BFT12" s="191"/>
      <c r="BFU12" s="191"/>
      <c r="BFV12" s="191"/>
      <c r="BFW12" s="191"/>
      <c r="BFX12" s="191"/>
      <c r="BFY12" s="191"/>
      <c r="BFZ12" s="191"/>
      <c r="BGA12" s="191"/>
      <c r="BGB12" s="191"/>
      <c r="BGC12" s="191"/>
      <c r="BGD12" s="191"/>
      <c r="BGE12" s="191"/>
      <c r="BGF12" s="191"/>
      <c r="BGG12" s="191"/>
      <c r="BGH12" s="191"/>
      <c r="BGI12" s="191"/>
      <c r="BGJ12" s="191"/>
      <c r="BGK12" s="191"/>
      <c r="BGL12" s="191"/>
      <c r="BGM12" s="191"/>
      <c r="BGN12" s="191"/>
      <c r="BGO12" s="191"/>
      <c r="BGP12" s="191"/>
      <c r="BGQ12" s="191"/>
      <c r="BGR12" s="191"/>
      <c r="BGS12" s="191"/>
      <c r="BGT12" s="191"/>
      <c r="BGU12" s="191"/>
      <c r="BGV12" s="191"/>
      <c r="BGW12" s="191"/>
      <c r="BGX12" s="191"/>
      <c r="BGY12" s="191"/>
      <c r="BGZ12" s="191"/>
      <c r="BHA12" s="191"/>
      <c r="BHB12" s="191"/>
      <c r="BHC12" s="191"/>
      <c r="BHD12" s="191"/>
      <c r="BHE12" s="191"/>
      <c r="BHF12" s="191" t="s">
        <v>60</v>
      </c>
      <c r="BHG12" s="191"/>
      <c r="BHH12" s="191"/>
      <c r="BHI12" s="191"/>
      <c r="BHJ12" s="191"/>
      <c r="BHK12" s="191"/>
      <c r="BHL12" s="191"/>
      <c r="BHM12" s="191"/>
      <c r="BHN12" s="191"/>
      <c r="BHO12" s="191"/>
      <c r="BHP12" s="191"/>
      <c r="BHQ12" s="191"/>
      <c r="BHR12" s="191"/>
      <c r="BHS12" s="191"/>
      <c r="BHT12" s="191"/>
      <c r="BHU12" s="191"/>
      <c r="BHV12" s="191"/>
      <c r="BHW12" s="191"/>
      <c r="BHX12" s="191"/>
      <c r="BHY12" s="191"/>
      <c r="BHZ12" s="191"/>
      <c r="BIA12" s="191"/>
      <c r="BIB12" s="191"/>
      <c r="BIC12" s="191"/>
      <c r="BID12" s="191"/>
      <c r="BIE12" s="191"/>
      <c r="BIF12" s="191"/>
      <c r="BIG12" s="191"/>
      <c r="BIH12" s="191"/>
      <c r="BII12" s="191"/>
      <c r="BIJ12" s="191"/>
      <c r="BIK12" s="191"/>
      <c r="BIL12" s="191"/>
      <c r="BIM12" s="191"/>
      <c r="BIN12" s="191"/>
      <c r="BIO12" s="191"/>
      <c r="BIP12" s="191"/>
      <c r="BIQ12" s="191"/>
      <c r="BIR12" s="191"/>
      <c r="BIS12" s="191"/>
      <c r="BIT12" s="191"/>
      <c r="BIU12" s="191"/>
      <c r="BIV12" s="191"/>
      <c r="BIW12" s="191"/>
      <c r="BIX12" s="191"/>
      <c r="BIY12" s="191"/>
      <c r="BIZ12" s="191"/>
      <c r="BJA12" s="191"/>
      <c r="BJB12" s="191"/>
      <c r="BJC12" s="191"/>
      <c r="BJD12" s="191"/>
      <c r="BJE12" s="191"/>
      <c r="BJF12" s="191"/>
      <c r="BJG12" s="191"/>
      <c r="BJH12" s="191"/>
      <c r="BJI12" s="191"/>
      <c r="BJJ12" s="191"/>
      <c r="BJK12" s="191"/>
      <c r="BJL12" s="191"/>
      <c r="BJM12" s="191"/>
      <c r="BJN12" s="191" t="s">
        <v>61</v>
      </c>
      <c r="BJO12" s="191"/>
      <c r="BJP12" s="191"/>
      <c r="BJQ12" s="191"/>
      <c r="BJR12" s="191"/>
      <c r="BJS12" s="191"/>
      <c r="BJT12" s="191"/>
      <c r="BJU12" s="191"/>
      <c r="BJV12" s="191"/>
      <c r="BJW12" s="191"/>
      <c r="BJX12" s="191"/>
      <c r="BJY12" s="191"/>
      <c r="BJZ12" s="191"/>
      <c r="BKA12" s="191"/>
      <c r="BKB12" s="191"/>
      <c r="BKC12" s="191"/>
      <c r="BKD12" s="191"/>
      <c r="BKE12" s="191"/>
      <c r="BKF12" s="191"/>
      <c r="BKG12" s="191"/>
      <c r="BKH12" s="191"/>
      <c r="BKI12" s="191"/>
      <c r="BKJ12" s="191"/>
      <c r="BKK12" s="191"/>
      <c r="BKL12" s="191"/>
      <c r="BKM12" s="191"/>
      <c r="BKN12" s="191"/>
      <c r="BKO12" s="191"/>
      <c r="BKP12" s="191"/>
      <c r="BKQ12" s="191"/>
      <c r="BKR12" s="191"/>
      <c r="BKS12" s="191"/>
      <c r="BKT12" s="191"/>
      <c r="BKU12" s="191"/>
      <c r="BKV12" s="191"/>
      <c r="BKW12" s="191"/>
      <c r="BKX12" s="191"/>
      <c r="BKY12" s="191"/>
      <c r="BKZ12" s="191"/>
      <c r="BLA12" s="191"/>
      <c r="BLB12" s="191"/>
      <c r="BLC12" s="191"/>
      <c r="BLD12" s="191"/>
      <c r="BLE12" s="191"/>
      <c r="BLF12" s="191"/>
      <c r="BLG12" s="191"/>
      <c r="BLH12" s="191"/>
      <c r="BLI12" s="191"/>
      <c r="BLJ12" s="191"/>
      <c r="BLK12" s="191"/>
      <c r="BLL12" s="191"/>
      <c r="BLM12" s="191"/>
      <c r="BLN12" s="191"/>
      <c r="BLO12" s="191"/>
      <c r="BLP12" s="191"/>
      <c r="BLQ12" s="191"/>
      <c r="BLR12" s="191"/>
      <c r="BLS12" s="191"/>
      <c r="BLT12" s="191"/>
      <c r="BLU12" s="191"/>
      <c r="BLV12" s="90"/>
    </row>
    <row r="13" spans="1:1686" ht="42.75" customHeight="1" thickBot="1" x14ac:dyDescent="0.3">
      <c r="B13" s="96"/>
      <c r="C13" s="208" t="s">
        <v>3</v>
      </c>
      <c r="D13" s="144"/>
      <c r="E13" s="210" t="s">
        <v>38</v>
      </c>
      <c r="F13" s="192" t="s">
        <v>4</v>
      </c>
      <c r="G13" s="193"/>
      <c r="H13" s="193"/>
      <c r="I13" s="193"/>
      <c r="J13" s="193"/>
      <c r="K13" s="193"/>
      <c r="L13" s="193"/>
      <c r="M13" s="193"/>
      <c r="N13" s="193"/>
      <c r="O13" s="193"/>
      <c r="P13" s="193"/>
      <c r="Q13" s="193"/>
      <c r="R13" s="193"/>
      <c r="S13" s="193"/>
      <c r="T13" s="193"/>
      <c r="U13" s="193"/>
      <c r="V13" s="193"/>
      <c r="W13" s="193"/>
      <c r="X13" s="193"/>
      <c r="Y13" s="193"/>
      <c r="Z13" s="193"/>
      <c r="AA13" s="193"/>
      <c r="AB13" s="193"/>
      <c r="AC13" s="193"/>
      <c r="AD13" s="193"/>
      <c r="AE13" s="193"/>
      <c r="AF13" s="193"/>
      <c r="AG13" s="193"/>
      <c r="AH13" s="193"/>
      <c r="AI13" s="193"/>
      <c r="AJ13" s="193"/>
      <c r="AK13" s="193"/>
      <c r="AL13" s="193"/>
      <c r="AM13" s="193"/>
      <c r="AN13" s="193"/>
      <c r="AO13" s="193"/>
      <c r="AP13" s="193"/>
      <c r="AQ13" s="193"/>
      <c r="AR13" s="193"/>
      <c r="AS13" s="193"/>
      <c r="AT13" s="193"/>
      <c r="AU13" s="193"/>
      <c r="AV13" s="193"/>
      <c r="AW13" s="193"/>
      <c r="AX13" s="193"/>
      <c r="AY13" s="193"/>
      <c r="AZ13" s="193"/>
      <c r="BA13" s="193"/>
      <c r="BB13" s="193"/>
      <c r="BC13" s="193"/>
      <c r="BD13" s="193"/>
      <c r="BE13" s="193"/>
      <c r="BF13" s="193"/>
      <c r="BG13" s="193"/>
      <c r="BH13" s="193"/>
      <c r="BI13" s="193"/>
      <c r="BJ13" s="193"/>
      <c r="BK13" s="193"/>
      <c r="BL13" s="193"/>
      <c r="BM13" s="194"/>
      <c r="BN13" s="192" t="s">
        <v>25</v>
      </c>
      <c r="BO13" s="193"/>
      <c r="BP13" s="193"/>
      <c r="BQ13" s="193"/>
      <c r="BR13" s="193"/>
      <c r="BS13" s="193"/>
      <c r="BT13" s="193"/>
      <c r="BU13" s="193"/>
      <c r="BV13" s="193"/>
      <c r="BW13" s="193"/>
      <c r="BX13" s="193"/>
      <c r="BY13" s="193"/>
      <c r="BZ13" s="193"/>
      <c r="CA13" s="193"/>
      <c r="CB13" s="193"/>
      <c r="CC13" s="193"/>
      <c r="CD13" s="193"/>
      <c r="CE13" s="193"/>
      <c r="CF13" s="193"/>
      <c r="CG13" s="193"/>
      <c r="CH13" s="193"/>
      <c r="CI13" s="193"/>
      <c r="CJ13" s="193"/>
      <c r="CK13" s="193"/>
      <c r="CL13" s="193"/>
      <c r="CM13" s="193"/>
      <c r="CN13" s="193"/>
      <c r="CO13" s="193"/>
      <c r="CP13" s="193"/>
      <c r="CQ13" s="193"/>
      <c r="CR13" s="193"/>
      <c r="CS13" s="193"/>
      <c r="CT13" s="193"/>
      <c r="CU13" s="193"/>
      <c r="CV13" s="193"/>
      <c r="CW13" s="193"/>
      <c r="CX13" s="193"/>
      <c r="CY13" s="193"/>
      <c r="CZ13" s="193"/>
      <c r="DA13" s="193"/>
      <c r="DB13" s="193"/>
      <c r="DC13" s="193"/>
      <c r="DD13" s="193"/>
      <c r="DE13" s="193"/>
      <c r="DF13" s="193"/>
      <c r="DG13" s="193"/>
      <c r="DH13" s="193"/>
      <c r="DI13" s="193"/>
      <c r="DJ13" s="193"/>
      <c r="DK13" s="193"/>
      <c r="DL13" s="193"/>
      <c r="DM13" s="193"/>
      <c r="DN13" s="193"/>
      <c r="DO13" s="193"/>
      <c r="DP13" s="193"/>
      <c r="DQ13" s="193"/>
      <c r="DR13" s="193"/>
      <c r="DS13" s="193"/>
      <c r="DT13" s="193"/>
      <c r="DU13" s="194"/>
      <c r="DV13" s="192" t="s">
        <v>16</v>
      </c>
      <c r="DW13" s="193"/>
      <c r="DX13" s="193"/>
      <c r="DY13" s="193"/>
      <c r="DZ13" s="193"/>
      <c r="EA13" s="193"/>
      <c r="EB13" s="193"/>
      <c r="EC13" s="193"/>
      <c r="ED13" s="193"/>
      <c r="EE13" s="193"/>
      <c r="EF13" s="193"/>
      <c r="EG13" s="193"/>
      <c r="EH13" s="193"/>
      <c r="EI13" s="193"/>
      <c r="EJ13" s="193"/>
      <c r="EK13" s="193"/>
      <c r="EL13" s="193"/>
      <c r="EM13" s="193"/>
      <c r="EN13" s="193"/>
      <c r="EO13" s="193"/>
      <c r="EP13" s="193"/>
      <c r="EQ13" s="193"/>
      <c r="ER13" s="193"/>
      <c r="ES13" s="193"/>
      <c r="ET13" s="193"/>
      <c r="EU13" s="193"/>
      <c r="EV13" s="193"/>
      <c r="EW13" s="193"/>
      <c r="EX13" s="193"/>
      <c r="EY13" s="193"/>
      <c r="EZ13" s="193"/>
      <c r="FA13" s="193"/>
      <c r="FB13" s="193"/>
      <c r="FC13" s="193"/>
      <c r="FD13" s="193"/>
      <c r="FE13" s="193"/>
      <c r="FF13" s="193"/>
      <c r="FG13" s="193"/>
      <c r="FH13" s="193"/>
      <c r="FI13" s="193"/>
      <c r="FJ13" s="193"/>
      <c r="FK13" s="193"/>
      <c r="FL13" s="193"/>
      <c r="FM13" s="193"/>
      <c r="FN13" s="193"/>
      <c r="FO13" s="193"/>
      <c r="FP13" s="193"/>
      <c r="FQ13" s="193"/>
      <c r="FR13" s="193"/>
      <c r="FS13" s="193"/>
      <c r="FT13" s="193"/>
      <c r="FU13" s="193"/>
      <c r="FV13" s="193"/>
      <c r="FW13" s="193"/>
      <c r="FX13" s="193"/>
      <c r="FY13" s="193"/>
      <c r="FZ13" s="193"/>
      <c r="GA13" s="193"/>
      <c r="GB13" s="193"/>
      <c r="GC13" s="194"/>
      <c r="GD13" s="192" t="s">
        <v>53</v>
      </c>
      <c r="GE13" s="193"/>
      <c r="GF13" s="193"/>
      <c r="GG13" s="193"/>
      <c r="GH13" s="193"/>
      <c r="GI13" s="193"/>
      <c r="GJ13" s="193"/>
      <c r="GK13" s="193"/>
      <c r="GL13" s="193"/>
      <c r="GM13" s="193"/>
      <c r="GN13" s="193"/>
      <c r="GO13" s="193"/>
      <c r="GP13" s="193"/>
      <c r="GQ13" s="193"/>
      <c r="GR13" s="193"/>
      <c r="GS13" s="193"/>
      <c r="GT13" s="193"/>
      <c r="GU13" s="193"/>
      <c r="GV13" s="193"/>
      <c r="GW13" s="193"/>
      <c r="GX13" s="193"/>
      <c r="GY13" s="193"/>
      <c r="GZ13" s="193"/>
      <c r="HA13" s="193"/>
      <c r="HB13" s="193"/>
      <c r="HC13" s="193"/>
      <c r="HD13" s="193"/>
      <c r="HE13" s="193"/>
      <c r="HF13" s="193"/>
      <c r="HG13" s="193"/>
      <c r="HH13" s="193"/>
      <c r="HI13" s="193"/>
      <c r="HJ13" s="193"/>
      <c r="HK13" s="193"/>
      <c r="HL13" s="193"/>
      <c r="HM13" s="193"/>
      <c r="HN13" s="193"/>
      <c r="HO13" s="193"/>
      <c r="HP13" s="193"/>
      <c r="HQ13" s="193"/>
      <c r="HR13" s="193"/>
      <c r="HS13" s="193"/>
      <c r="HT13" s="193"/>
      <c r="HU13" s="193"/>
      <c r="HV13" s="193"/>
      <c r="HW13" s="193"/>
      <c r="HX13" s="193"/>
      <c r="HY13" s="193"/>
      <c r="HZ13" s="193"/>
      <c r="IA13" s="193"/>
      <c r="IB13" s="193"/>
      <c r="IC13" s="193"/>
      <c r="ID13" s="193"/>
      <c r="IE13" s="193"/>
      <c r="IF13" s="193"/>
      <c r="IG13" s="193"/>
      <c r="IH13" s="193"/>
      <c r="II13" s="193"/>
      <c r="IJ13" s="193"/>
      <c r="IK13" s="194"/>
      <c r="IL13" s="192" t="s">
        <v>52</v>
      </c>
      <c r="IM13" s="193"/>
      <c r="IN13" s="193"/>
      <c r="IO13" s="193"/>
      <c r="IP13" s="193"/>
      <c r="IQ13" s="193"/>
      <c r="IR13" s="193"/>
      <c r="IS13" s="193"/>
      <c r="IT13" s="193"/>
      <c r="IU13" s="193"/>
      <c r="IV13" s="193"/>
      <c r="IW13" s="193"/>
      <c r="IX13" s="193"/>
      <c r="IY13" s="193"/>
      <c r="IZ13" s="193"/>
      <c r="JA13" s="193"/>
      <c r="JB13" s="193"/>
      <c r="JC13" s="193"/>
      <c r="JD13" s="193"/>
      <c r="JE13" s="193"/>
      <c r="JF13" s="193"/>
      <c r="JG13" s="193"/>
      <c r="JH13" s="193"/>
      <c r="JI13" s="193"/>
      <c r="JJ13" s="193"/>
      <c r="JK13" s="193"/>
      <c r="JL13" s="193"/>
      <c r="JM13" s="193"/>
      <c r="JN13" s="193"/>
      <c r="JO13" s="193"/>
      <c r="JP13" s="193"/>
      <c r="JQ13" s="193"/>
      <c r="JR13" s="193"/>
      <c r="JS13" s="193"/>
      <c r="JT13" s="193"/>
      <c r="JU13" s="193"/>
      <c r="JV13" s="193"/>
      <c r="JW13" s="193"/>
      <c r="JX13" s="193"/>
      <c r="JY13" s="193"/>
      <c r="JZ13" s="193"/>
      <c r="KA13" s="193"/>
      <c r="KB13" s="193"/>
      <c r="KC13" s="193"/>
      <c r="KD13" s="193"/>
      <c r="KE13" s="193"/>
      <c r="KF13" s="193"/>
      <c r="KG13" s="193"/>
      <c r="KH13" s="193"/>
      <c r="KI13" s="193"/>
      <c r="KJ13" s="193"/>
      <c r="KK13" s="193"/>
      <c r="KL13" s="193"/>
      <c r="KM13" s="193"/>
      <c r="KN13" s="193"/>
      <c r="KO13" s="193"/>
      <c r="KP13" s="193"/>
      <c r="KQ13" s="193"/>
      <c r="KR13" s="193"/>
      <c r="KS13" s="194"/>
      <c r="KT13" s="192" t="s">
        <v>51</v>
      </c>
      <c r="KU13" s="193"/>
      <c r="KV13" s="193"/>
      <c r="KW13" s="193"/>
      <c r="KX13" s="193"/>
      <c r="KY13" s="193"/>
      <c r="KZ13" s="193"/>
      <c r="LA13" s="193"/>
      <c r="LB13" s="193"/>
      <c r="LC13" s="193"/>
      <c r="LD13" s="193"/>
      <c r="LE13" s="193"/>
      <c r="LF13" s="193"/>
      <c r="LG13" s="193"/>
      <c r="LH13" s="193"/>
      <c r="LI13" s="193"/>
      <c r="LJ13" s="193"/>
      <c r="LK13" s="193"/>
      <c r="LL13" s="193"/>
      <c r="LM13" s="193"/>
      <c r="LN13" s="193"/>
      <c r="LO13" s="193"/>
      <c r="LP13" s="193"/>
      <c r="LQ13" s="193"/>
      <c r="LR13" s="193"/>
      <c r="LS13" s="193"/>
      <c r="LT13" s="193"/>
      <c r="LU13" s="193"/>
      <c r="LV13" s="193"/>
      <c r="LW13" s="193"/>
      <c r="LX13" s="193"/>
      <c r="LY13" s="193"/>
      <c r="LZ13" s="193"/>
      <c r="MA13" s="193"/>
      <c r="MB13" s="193"/>
      <c r="MC13" s="193"/>
      <c r="MD13" s="193"/>
      <c r="ME13" s="193"/>
      <c r="MF13" s="193"/>
      <c r="MG13" s="193"/>
      <c r="MH13" s="193"/>
      <c r="MI13" s="193"/>
      <c r="MJ13" s="193"/>
      <c r="MK13" s="193"/>
      <c r="ML13" s="193"/>
      <c r="MM13" s="193"/>
      <c r="MN13" s="193"/>
      <c r="MO13" s="193"/>
      <c r="MP13" s="193"/>
      <c r="MQ13" s="193"/>
      <c r="MR13" s="193"/>
      <c r="MS13" s="193"/>
      <c r="MT13" s="193"/>
      <c r="MU13" s="193"/>
      <c r="MV13" s="193"/>
      <c r="MW13" s="193"/>
      <c r="MX13" s="193"/>
      <c r="MY13" s="193"/>
      <c r="MZ13" s="193"/>
      <c r="NA13" s="194"/>
      <c r="NB13" s="192" t="s">
        <v>50</v>
      </c>
      <c r="NC13" s="193"/>
      <c r="ND13" s="193"/>
      <c r="NE13" s="193"/>
      <c r="NF13" s="193"/>
      <c r="NG13" s="193"/>
      <c r="NH13" s="193"/>
      <c r="NI13" s="193"/>
      <c r="NJ13" s="193"/>
      <c r="NK13" s="193"/>
      <c r="NL13" s="193"/>
      <c r="NM13" s="193"/>
      <c r="NN13" s="193"/>
      <c r="NO13" s="193"/>
      <c r="NP13" s="193"/>
      <c r="NQ13" s="193"/>
      <c r="NR13" s="193"/>
      <c r="NS13" s="193"/>
      <c r="NT13" s="193"/>
      <c r="NU13" s="193"/>
      <c r="NV13" s="193"/>
      <c r="NW13" s="193"/>
      <c r="NX13" s="193"/>
      <c r="NY13" s="193"/>
      <c r="NZ13" s="193"/>
      <c r="OA13" s="193"/>
      <c r="OB13" s="193"/>
      <c r="OC13" s="193"/>
      <c r="OD13" s="193"/>
      <c r="OE13" s="193"/>
      <c r="OF13" s="193"/>
      <c r="OG13" s="193"/>
      <c r="OH13" s="193"/>
      <c r="OI13" s="193"/>
      <c r="OJ13" s="193"/>
      <c r="OK13" s="193"/>
      <c r="OL13" s="193"/>
      <c r="OM13" s="193"/>
      <c r="ON13" s="193"/>
      <c r="OO13" s="193"/>
      <c r="OP13" s="193"/>
      <c r="OQ13" s="193"/>
      <c r="OR13" s="193"/>
      <c r="OS13" s="193"/>
      <c r="OT13" s="193"/>
      <c r="OU13" s="193"/>
      <c r="OV13" s="193"/>
      <c r="OW13" s="193"/>
      <c r="OX13" s="193"/>
      <c r="OY13" s="193"/>
      <c r="OZ13" s="193"/>
      <c r="PA13" s="193"/>
      <c r="PB13" s="193"/>
      <c r="PC13" s="193"/>
      <c r="PD13" s="193"/>
      <c r="PE13" s="193"/>
      <c r="PF13" s="193"/>
      <c r="PG13" s="193"/>
      <c r="PH13" s="193"/>
      <c r="PI13" s="194"/>
      <c r="PJ13" s="192" t="s">
        <v>49</v>
      </c>
      <c r="PK13" s="193"/>
      <c r="PL13" s="193"/>
      <c r="PM13" s="193"/>
      <c r="PN13" s="193"/>
      <c r="PO13" s="193"/>
      <c r="PP13" s="193"/>
      <c r="PQ13" s="193"/>
      <c r="PR13" s="193"/>
      <c r="PS13" s="193"/>
      <c r="PT13" s="193"/>
      <c r="PU13" s="193"/>
      <c r="PV13" s="193"/>
      <c r="PW13" s="193"/>
      <c r="PX13" s="193"/>
      <c r="PY13" s="193"/>
      <c r="PZ13" s="193"/>
      <c r="QA13" s="193"/>
      <c r="QB13" s="193"/>
      <c r="QC13" s="193"/>
      <c r="QD13" s="193"/>
      <c r="QE13" s="193"/>
      <c r="QF13" s="193"/>
      <c r="QG13" s="193"/>
      <c r="QH13" s="193"/>
      <c r="QI13" s="193"/>
      <c r="QJ13" s="193"/>
      <c r="QK13" s="193"/>
      <c r="QL13" s="193"/>
      <c r="QM13" s="193"/>
      <c r="QN13" s="193"/>
      <c r="QO13" s="193"/>
      <c r="QP13" s="193"/>
      <c r="QQ13" s="193"/>
      <c r="QR13" s="193"/>
      <c r="QS13" s="193"/>
      <c r="QT13" s="193"/>
      <c r="QU13" s="193"/>
      <c r="QV13" s="193"/>
      <c r="QW13" s="193"/>
      <c r="QX13" s="193"/>
      <c r="QY13" s="193"/>
      <c r="QZ13" s="193"/>
      <c r="RA13" s="193"/>
      <c r="RB13" s="193"/>
      <c r="RC13" s="193"/>
      <c r="RD13" s="193"/>
      <c r="RE13" s="193"/>
      <c r="RF13" s="193"/>
      <c r="RG13" s="193"/>
      <c r="RH13" s="193"/>
      <c r="RI13" s="193"/>
      <c r="RJ13" s="193"/>
      <c r="RK13" s="193"/>
      <c r="RL13" s="193"/>
      <c r="RM13" s="193"/>
      <c r="RN13" s="193"/>
      <c r="RO13" s="193"/>
      <c r="RP13" s="193"/>
      <c r="RQ13" s="194"/>
      <c r="RR13" s="192" t="s">
        <v>48</v>
      </c>
      <c r="RS13" s="193"/>
      <c r="RT13" s="193"/>
      <c r="RU13" s="193"/>
      <c r="RV13" s="193"/>
      <c r="RW13" s="193"/>
      <c r="RX13" s="193"/>
      <c r="RY13" s="193"/>
      <c r="RZ13" s="193"/>
      <c r="SA13" s="193"/>
      <c r="SB13" s="193"/>
      <c r="SC13" s="193"/>
      <c r="SD13" s="193"/>
      <c r="SE13" s="193"/>
      <c r="SF13" s="193"/>
      <c r="SG13" s="193"/>
      <c r="SH13" s="193"/>
      <c r="SI13" s="193"/>
      <c r="SJ13" s="193"/>
      <c r="SK13" s="193"/>
      <c r="SL13" s="193"/>
      <c r="SM13" s="193"/>
      <c r="SN13" s="193"/>
      <c r="SO13" s="193"/>
      <c r="SP13" s="193"/>
      <c r="SQ13" s="193"/>
      <c r="SR13" s="193"/>
      <c r="SS13" s="193"/>
      <c r="ST13" s="193"/>
      <c r="SU13" s="193"/>
      <c r="SV13" s="193"/>
      <c r="SW13" s="193"/>
      <c r="SX13" s="193"/>
      <c r="SY13" s="193"/>
      <c r="SZ13" s="193"/>
      <c r="TA13" s="193"/>
      <c r="TB13" s="193"/>
      <c r="TC13" s="193"/>
      <c r="TD13" s="193"/>
      <c r="TE13" s="193"/>
      <c r="TF13" s="193"/>
      <c r="TG13" s="193"/>
      <c r="TH13" s="193"/>
      <c r="TI13" s="193"/>
      <c r="TJ13" s="193"/>
      <c r="TK13" s="193"/>
      <c r="TL13" s="193"/>
      <c r="TM13" s="193"/>
      <c r="TN13" s="193"/>
      <c r="TO13" s="193"/>
      <c r="TP13" s="193"/>
      <c r="TQ13" s="193"/>
      <c r="TR13" s="193"/>
      <c r="TS13" s="193"/>
      <c r="TT13" s="193"/>
      <c r="TU13" s="193"/>
      <c r="TV13" s="193"/>
      <c r="TW13" s="193"/>
      <c r="TX13" s="193"/>
      <c r="TY13" s="194"/>
      <c r="TZ13" s="192" t="s">
        <v>47</v>
      </c>
      <c r="UA13" s="193"/>
      <c r="UB13" s="193"/>
      <c r="UC13" s="193"/>
      <c r="UD13" s="193"/>
      <c r="UE13" s="193"/>
      <c r="UF13" s="193"/>
      <c r="UG13" s="193"/>
      <c r="UH13" s="193"/>
      <c r="UI13" s="193"/>
      <c r="UJ13" s="193"/>
      <c r="UK13" s="193"/>
      <c r="UL13" s="193"/>
      <c r="UM13" s="193"/>
      <c r="UN13" s="193"/>
      <c r="UO13" s="193"/>
      <c r="UP13" s="193"/>
      <c r="UQ13" s="193"/>
      <c r="UR13" s="193"/>
      <c r="US13" s="193"/>
      <c r="UT13" s="193"/>
      <c r="UU13" s="193"/>
      <c r="UV13" s="193"/>
      <c r="UW13" s="193"/>
      <c r="UX13" s="193"/>
      <c r="UY13" s="193"/>
      <c r="UZ13" s="193"/>
      <c r="VA13" s="193"/>
      <c r="VB13" s="193"/>
      <c r="VC13" s="193"/>
      <c r="VD13" s="193"/>
      <c r="VE13" s="193"/>
      <c r="VF13" s="193"/>
      <c r="VG13" s="193"/>
      <c r="VH13" s="193"/>
      <c r="VI13" s="193"/>
      <c r="VJ13" s="193"/>
      <c r="VK13" s="193"/>
      <c r="VL13" s="193"/>
      <c r="VM13" s="193"/>
      <c r="VN13" s="193"/>
      <c r="VO13" s="193"/>
      <c r="VP13" s="193"/>
      <c r="VQ13" s="193"/>
      <c r="VR13" s="193"/>
      <c r="VS13" s="193"/>
      <c r="VT13" s="193"/>
      <c r="VU13" s="193"/>
      <c r="VV13" s="193"/>
      <c r="VW13" s="193"/>
      <c r="VX13" s="193"/>
      <c r="VY13" s="193"/>
      <c r="VZ13" s="193"/>
      <c r="WA13" s="193"/>
      <c r="WB13" s="193"/>
      <c r="WC13" s="193"/>
      <c r="WD13" s="193"/>
      <c r="WE13" s="193"/>
      <c r="WF13" s="193"/>
      <c r="WG13" s="194"/>
      <c r="WH13" s="192" t="s">
        <v>46</v>
      </c>
      <c r="WI13" s="193"/>
      <c r="WJ13" s="193"/>
      <c r="WK13" s="193"/>
      <c r="WL13" s="193"/>
      <c r="WM13" s="193"/>
      <c r="WN13" s="193"/>
      <c r="WO13" s="193"/>
      <c r="WP13" s="193"/>
      <c r="WQ13" s="193"/>
      <c r="WR13" s="193"/>
      <c r="WS13" s="193"/>
      <c r="WT13" s="193"/>
      <c r="WU13" s="193"/>
      <c r="WV13" s="193"/>
      <c r="WW13" s="193"/>
      <c r="WX13" s="193"/>
      <c r="WY13" s="193"/>
      <c r="WZ13" s="193"/>
      <c r="XA13" s="193"/>
      <c r="XB13" s="193"/>
      <c r="XC13" s="193"/>
      <c r="XD13" s="193"/>
      <c r="XE13" s="193"/>
      <c r="XF13" s="193"/>
      <c r="XG13" s="193"/>
      <c r="XH13" s="193"/>
      <c r="XI13" s="193"/>
      <c r="XJ13" s="193"/>
      <c r="XK13" s="193"/>
      <c r="XL13" s="193"/>
      <c r="XM13" s="193"/>
      <c r="XN13" s="193"/>
      <c r="XO13" s="193"/>
      <c r="XP13" s="193"/>
      <c r="XQ13" s="193"/>
      <c r="XR13" s="193"/>
      <c r="XS13" s="193"/>
      <c r="XT13" s="193"/>
      <c r="XU13" s="193"/>
      <c r="XV13" s="193"/>
      <c r="XW13" s="193"/>
      <c r="XX13" s="193"/>
      <c r="XY13" s="193"/>
      <c r="XZ13" s="193"/>
      <c r="YA13" s="193"/>
      <c r="YB13" s="193"/>
      <c r="YC13" s="193"/>
      <c r="YD13" s="193"/>
      <c r="YE13" s="193"/>
      <c r="YF13" s="193"/>
      <c r="YG13" s="193"/>
      <c r="YH13" s="193"/>
      <c r="YI13" s="193"/>
      <c r="YJ13" s="193"/>
      <c r="YK13" s="193"/>
      <c r="YL13" s="193"/>
      <c r="YM13" s="193"/>
      <c r="YN13" s="193"/>
      <c r="YO13" s="194"/>
      <c r="YP13" s="192" t="s">
        <v>45</v>
      </c>
      <c r="YQ13" s="193"/>
      <c r="YR13" s="193"/>
      <c r="YS13" s="193"/>
      <c r="YT13" s="193"/>
      <c r="YU13" s="193"/>
      <c r="YV13" s="193"/>
      <c r="YW13" s="193"/>
      <c r="YX13" s="193"/>
      <c r="YY13" s="193"/>
      <c r="YZ13" s="193"/>
      <c r="ZA13" s="193"/>
      <c r="ZB13" s="193"/>
      <c r="ZC13" s="193"/>
      <c r="ZD13" s="193"/>
      <c r="ZE13" s="193"/>
      <c r="ZF13" s="193"/>
      <c r="ZG13" s="193"/>
      <c r="ZH13" s="193"/>
      <c r="ZI13" s="193"/>
      <c r="ZJ13" s="193"/>
      <c r="ZK13" s="193"/>
      <c r="ZL13" s="193"/>
      <c r="ZM13" s="193"/>
      <c r="ZN13" s="193"/>
      <c r="ZO13" s="193"/>
      <c r="ZP13" s="193"/>
      <c r="ZQ13" s="193"/>
      <c r="ZR13" s="193"/>
      <c r="ZS13" s="193"/>
      <c r="ZT13" s="193"/>
      <c r="ZU13" s="193"/>
      <c r="ZV13" s="193"/>
      <c r="ZW13" s="193"/>
      <c r="ZX13" s="193"/>
      <c r="ZY13" s="193"/>
      <c r="ZZ13" s="193"/>
      <c r="AAA13" s="193"/>
      <c r="AAB13" s="193"/>
      <c r="AAC13" s="193"/>
      <c r="AAD13" s="193"/>
      <c r="AAE13" s="193"/>
      <c r="AAF13" s="193"/>
      <c r="AAG13" s="193"/>
      <c r="AAH13" s="193"/>
      <c r="AAI13" s="193"/>
      <c r="AAJ13" s="193"/>
      <c r="AAK13" s="193"/>
      <c r="AAL13" s="193"/>
      <c r="AAM13" s="193"/>
      <c r="AAN13" s="193"/>
      <c r="AAO13" s="193"/>
      <c r="AAP13" s="193"/>
      <c r="AAQ13" s="193"/>
      <c r="AAR13" s="193"/>
      <c r="AAS13" s="193"/>
      <c r="AAT13" s="193"/>
      <c r="AAU13" s="193"/>
      <c r="AAV13" s="193"/>
      <c r="AAW13" s="194"/>
      <c r="AAX13" s="192" t="s">
        <v>44</v>
      </c>
      <c r="AAY13" s="193"/>
      <c r="AAZ13" s="193"/>
      <c r="ABA13" s="193"/>
      <c r="ABB13" s="193"/>
      <c r="ABC13" s="193"/>
      <c r="ABD13" s="193"/>
      <c r="ABE13" s="193"/>
      <c r="ABF13" s="193"/>
      <c r="ABG13" s="193"/>
      <c r="ABH13" s="193"/>
      <c r="ABI13" s="193"/>
      <c r="ABJ13" s="193"/>
      <c r="ABK13" s="193"/>
      <c r="ABL13" s="193"/>
      <c r="ABM13" s="193"/>
      <c r="ABN13" s="193"/>
      <c r="ABO13" s="193"/>
      <c r="ABP13" s="193"/>
      <c r="ABQ13" s="193"/>
      <c r="ABR13" s="193"/>
      <c r="ABS13" s="193"/>
      <c r="ABT13" s="193"/>
      <c r="ABU13" s="193"/>
      <c r="ABV13" s="193"/>
      <c r="ABW13" s="193"/>
      <c r="ABX13" s="193"/>
      <c r="ABY13" s="193"/>
      <c r="ABZ13" s="193"/>
      <c r="ACA13" s="193"/>
      <c r="ACB13" s="193"/>
      <c r="ACC13" s="193"/>
      <c r="ACD13" s="193"/>
      <c r="ACE13" s="193"/>
      <c r="ACF13" s="193"/>
      <c r="ACG13" s="193"/>
      <c r="ACH13" s="193"/>
      <c r="ACI13" s="193"/>
      <c r="ACJ13" s="193"/>
      <c r="ACK13" s="193"/>
      <c r="ACL13" s="193"/>
      <c r="ACM13" s="193"/>
      <c r="ACN13" s="193"/>
      <c r="ACO13" s="193"/>
      <c r="ACP13" s="193"/>
      <c r="ACQ13" s="193"/>
      <c r="ACR13" s="193"/>
      <c r="ACS13" s="193"/>
      <c r="ACT13" s="193"/>
      <c r="ACU13" s="193"/>
      <c r="ACV13" s="193"/>
      <c r="ACW13" s="193"/>
      <c r="ACX13" s="193"/>
      <c r="ACY13" s="193"/>
      <c r="ACZ13" s="193"/>
      <c r="ADA13" s="193"/>
      <c r="ADB13" s="193"/>
      <c r="ADC13" s="193"/>
      <c r="ADD13" s="193"/>
      <c r="ADE13" s="194"/>
      <c r="ADF13" s="192" t="s">
        <v>43</v>
      </c>
      <c r="ADG13" s="193"/>
      <c r="ADH13" s="193"/>
      <c r="ADI13" s="193"/>
      <c r="ADJ13" s="193"/>
      <c r="ADK13" s="193"/>
      <c r="ADL13" s="193"/>
      <c r="ADM13" s="193"/>
      <c r="ADN13" s="193"/>
      <c r="ADO13" s="193"/>
      <c r="ADP13" s="193"/>
      <c r="ADQ13" s="193"/>
      <c r="ADR13" s="193"/>
      <c r="ADS13" s="193"/>
      <c r="ADT13" s="193"/>
      <c r="ADU13" s="193"/>
      <c r="ADV13" s="193"/>
      <c r="ADW13" s="193"/>
      <c r="ADX13" s="193"/>
      <c r="ADY13" s="193"/>
      <c r="ADZ13" s="193"/>
      <c r="AEA13" s="193"/>
      <c r="AEB13" s="193"/>
      <c r="AEC13" s="193"/>
      <c r="AED13" s="193"/>
      <c r="AEE13" s="193"/>
      <c r="AEF13" s="193"/>
      <c r="AEG13" s="193"/>
      <c r="AEH13" s="193"/>
      <c r="AEI13" s="193"/>
      <c r="AEJ13" s="193"/>
      <c r="AEK13" s="193"/>
      <c r="AEL13" s="193"/>
      <c r="AEM13" s="193"/>
      <c r="AEN13" s="193"/>
      <c r="AEO13" s="193"/>
      <c r="AEP13" s="193"/>
      <c r="AEQ13" s="193"/>
      <c r="AER13" s="193"/>
      <c r="AES13" s="193"/>
      <c r="AET13" s="193"/>
      <c r="AEU13" s="193"/>
      <c r="AEV13" s="193"/>
      <c r="AEW13" s="193"/>
      <c r="AEX13" s="193"/>
      <c r="AEY13" s="193"/>
      <c r="AEZ13" s="193"/>
      <c r="AFA13" s="193"/>
      <c r="AFB13" s="193"/>
      <c r="AFC13" s="193"/>
      <c r="AFD13" s="193"/>
      <c r="AFE13" s="193"/>
      <c r="AFF13" s="193"/>
      <c r="AFG13" s="193"/>
      <c r="AFH13" s="193"/>
      <c r="AFI13" s="193"/>
      <c r="AFJ13" s="193"/>
      <c r="AFK13" s="193"/>
      <c r="AFL13" s="193"/>
      <c r="AFM13" s="194"/>
      <c r="AFN13" s="192" t="s">
        <v>42</v>
      </c>
      <c r="AFO13" s="193"/>
      <c r="AFP13" s="193"/>
      <c r="AFQ13" s="193"/>
      <c r="AFR13" s="193"/>
      <c r="AFS13" s="193"/>
      <c r="AFT13" s="193"/>
      <c r="AFU13" s="193"/>
      <c r="AFV13" s="193"/>
      <c r="AFW13" s="193"/>
      <c r="AFX13" s="193"/>
      <c r="AFY13" s="193"/>
      <c r="AFZ13" s="193"/>
      <c r="AGA13" s="193"/>
      <c r="AGB13" s="193"/>
      <c r="AGC13" s="193"/>
      <c r="AGD13" s="193"/>
      <c r="AGE13" s="193"/>
      <c r="AGF13" s="193"/>
      <c r="AGG13" s="193"/>
      <c r="AGH13" s="193"/>
      <c r="AGI13" s="193"/>
      <c r="AGJ13" s="193"/>
      <c r="AGK13" s="193"/>
      <c r="AGL13" s="193"/>
      <c r="AGM13" s="193"/>
      <c r="AGN13" s="193"/>
      <c r="AGO13" s="193"/>
      <c r="AGP13" s="193"/>
      <c r="AGQ13" s="193"/>
      <c r="AGR13" s="193"/>
      <c r="AGS13" s="193"/>
      <c r="AGT13" s="193"/>
      <c r="AGU13" s="193"/>
      <c r="AGV13" s="193"/>
      <c r="AGW13" s="193"/>
      <c r="AGX13" s="193"/>
      <c r="AGY13" s="193"/>
      <c r="AGZ13" s="193"/>
      <c r="AHA13" s="193"/>
      <c r="AHB13" s="193"/>
      <c r="AHC13" s="193"/>
      <c r="AHD13" s="193"/>
      <c r="AHE13" s="193"/>
      <c r="AHF13" s="193"/>
      <c r="AHG13" s="193"/>
      <c r="AHH13" s="193"/>
      <c r="AHI13" s="193"/>
      <c r="AHJ13" s="193"/>
      <c r="AHK13" s="193"/>
      <c r="AHL13" s="193"/>
      <c r="AHM13" s="193"/>
      <c r="AHN13" s="193"/>
      <c r="AHO13" s="193"/>
      <c r="AHP13" s="193"/>
      <c r="AHQ13" s="193"/>
      <c r="AHR13" s="193"/>
      <c r="AHS13" s="193"/>
      <c r="AHT13" s="193"/>
      <c r="AHU13" s="194"/>
      <c r="AHV13" s="192" t="s">
        <v>40</v>
      </c>
      <c r="AHW13" s="193"/>
      <c r="AHX13" s="193"/>
      <c r="AHY13" s="193"/>
      <c r="AHZ13" s="193"/>
      <c r="AIA13" s="193"/>
      <c r="AIB13" s="193"/>
      <c r="AIC13" s="193"/>
      <c r="AID13" s="193"/>
      <c r="AIE13" s="193"/>
      <c r="AIF13" s="193"/>
      <c r="AIG13" s="193"/>
      <c r="AIH13" s="193"/>
      <c r="AII13" s="193"/>
      <c r="AIJ13" s="193"/>
      <c r="AIK13" s="193"/>
      <c r="AIL13" s="193"/>
      <c r="AIM13" s="193"/>
      <c r="AIN13" s="193"/>
      <c r="AIO13" s="193"/>
      <c r="AIP13" s="193"/>
      <c r="AIQ13" s="193"/>
      <c r="AIR13" s="193"/>
      <c r="AIS13" s="193"/>
      <c r="AIT13" s="193"/>
      <c r="AIU13" s="193"/>
      <c r="AIV13" s="193"/>
      <c r="AIW13" s="193"/>
      <c r="AIX13" s="193"/>
      <c r="AIY13" s="193"/>
      <c r="AIZ13" s="193"/>
      <c r="AJA13" s="193"/>
      <c r="AJB13" s="193"/>
      <c r="AJC13" s="193"/>
      <c r="AJD13" s="193"/>
      <c r="AJE13" s="193"/>
      <c r="AJF13" s="193"/>
      <c r="AJG13" s="193"/>
      <c r="AJH13" s="193"/>
      <c r="AJI13" s="193"/>
      <c r="AJJ13" s="193"/>
      <c r="AJK13" s="193"/>
      <c r="AJL13" s="193"/>
      <c r="AJM13" s="193"/>
      <c r="AJN13" s="193"/>
      <c r="AJO13" s="193"/>
      <c r="AJP13" s="193"/>
      <c r="AJQ13" s="193"/>
      <c r="AJR13" s="193"/>
      <c r="AJS13" s="193"/>
      <c r="AJT13" s="193"/>
      <c r="AJU13" s="193"/>
      <c r="AJV13" s="193"/>
      <c r="AJW13" s="193"/>
      <c r="AJX13" s="193"/>
      <c r="AJY13" s="193"/>
      <c r="AJZ13" s="193"/>
      <c r="AKA13" s="193"/>
      <c r="AKB13" s="193"/>
      <c r="AKC13" s="194"/>
      <c r="AKD13" s="192" t="s">
        <v>89</v>
      </c>
      <c r="AKE13" s="193"/>
      <c r="AKF13" s="193"/>
      <c r="AKG13" s="193"/>
      <c r="AKH13" s="193"/>
      <c r="AKI13" s="193"/>
      <c r="AKJ13" s="193"/>
      <c r="AKK13" s="193"/>
      <c r="AKL13" s="193"/>
      <c r="AKM13" s="193"/>
      <c r="AKN13" s="193"/>
      <c r="AKO13" s="193"/>
      <c r="AKP13" s="193"/>
      <c r="AKQ13" s="193"/>
      <c r="AKR13" s="193"/>
      <c r="AKS13" s="193"/>
      <c r="AKT13" s="193"/>
      <c r="AKU13" s="193"/>
      <c r="AKV13" s="193"/>
      <c r="AKW13" s="193"/>
      <c r="AKX13" s="193"/>
      <c r="AKY13" s="193"/>
      <c r="AKZ13" s="193"/>
      <c r="ALA13" s="193"/>
      <c r="ALB13" s="193"/>
      <c r="ALC13" s="193"/>
      <c r="ALD13" s="193"/>
      <c r="ALE13" s="193"/>
      <c r="ALF13" s="193"/>
      <c r="ALG13" s="193"/>
      <c r="ALH13" s="193"/>
      <c r="ALI13" s="193"/>
      <c r="ALJ13" s="193"/>
      <c r="ALK13" s="193"/>
      <c r="ALL13" s="193"/>
      <c r="ALM13" s="193"/>
      <c r="ALN13" s="193"/>
      <c r="ALO13" s="193"/>
      <c r="ALP13" s="193"/>
      <c r="ALQ13" s="193"/>
      <c r="ALR13" s="193"/>
      <c r="ALS13" s="193"/>
      <c r="ALT13" s="193"/>
      <c r="ALU13" s="193"/>
      <c r="ALV13" s="193"/>
      <c r="ALW13" s="193"/>
      <c r="ALX13" s="193"/>
      <c r="ALY13" s="193"/>
      <c r="ALZ13" s="193"/>
      <c r="AMA13" s="193"/>
      <c r="AMB13" s="193"/>
      <c r="AMC13" s="193"/>
      <c r="AMD13" s="193"/>
      <c r="AME13" s="193"/>
      <c r="AMF13" s="193"/>
      <c r="AMG13" s="193"/>
      <c r="AMH13" s="193"/>
      <c r="AMI13" s="193"/>
      <c r="AMJ13" s="193"/>
      <c r="AMK13" s="194"/>
      <c r="AML13" s="192" t="s">
        <v>88</v>
      </c>
      <c r="AMM13" s="193"/>
      <c r="AMN13" s="193"/>
      <c r="AMO13" s="193"/>
      <c r="AMP13" s="193"/>
      <c r="AMQ13" s="193"/>
      <c r="AMR13" s="193"/>
      <c r="AMS13" s="193"/>
      <c r="AMT13" s="193"/>
      <c r="AMU13" s="193"/>
      <c r="AMV13" s="193"/>
      <c r="AMW13" s="193"/>
      <c r="AMX13" s="193"/>
      <c r="AMY13" s="193"/>
      <c r="AMZ13" s="193"/>
      <c r="ANA13" s="193"/>
      <c r="ANB13" s="193"/>
      <c r="ANC13" s="193"/>
      <c r="AND13" s="193"/>
      <c r="ANE13" s="193"/>
      <c r="ANF13" s="193"/>
      <c r="ANG13" s="193"/>
      <c r="ANH13" s="193"/>
      <c r="ANI13" s="193"/>
      <c r="ANJ13" s="193"/>
      <c r="ANK13" s="193"/>
      <c r="ANL13" s="193"/>
      <c r="ANM13" s="193"/>
      <c r="ANN13" s="193"/>
      <c r="ANO13" s="193"/>
      <c r="ANP13" s="193"/>
      <c r="ANQ13" s="193"/>
      <c r="ANR13" s="193"/>
      <c r="ANS13" s="193"/>
      <c r="ANT13" s="193"/>
      <c r="ANU13" s="193"/>
      <c r="ANV13" s="193"/>
      <c r="ANW13" s="193"/>
      <c r="ANX13" s="193"/>
      <c r="ANY13" s="193"/>
      <c r="ANZ13" s="193"/>
      <c r="AOA13" s="193"/>
      <c r="AOB13" s="193"/>
      <c r="AOC13" s="193"/>
      <c r="AOD13" s="193"/>
      <c r="AOE13" s="193"/>
      <c r="AOF13" s="193"/>
      <c r="AOG13" s="193"/>
      <c r="AOH13" s="193"/>
      <c r="AOI13" s="193"/>
      <c r="AOJ13" s="193"/>
      <c r="AOK13" s="193"/>
      <c r="AOL13" s="193"/>
      <c r="AOM13" s="193"/>
      <c r="AON13" s="193"/>
      <c r="AOO13" s="193"/>
      <c r="AOP13" s="193"/>
      <c r="AOQ13" s="193"/>
      <c r="AOR13" s="193"/>
      <c r="AOS13" s="194"/>
      <c r="AOT13" s="192" t="s">
        <v>87</v>
      </c>
      <c r="AOU13" s="193"/>
      <c r="AOV13" s="193"/>
      <c r="AOW13" s="193"/>
      <c r="AOX13" s="193"/>
      <c r="AOY13" s="193"/>
      <c r="AOZ13" s="193"/>
      <c r="APA13" s="193"/>
      <c r="APB13" s="193"/>
      <c r="APC13" s="193"/>
      <c r="APD13" s="193"/>
      <c r="APE13" s="193"/>
      <c r="APF13" s="193"/>
      <c r="APG13" s="193"/>
      <c r="APH13" s="193"/>
      <c r="API13" s="193"/>
      <c r="APJ13" s="193"/>
      <c r="APK13" s="193"/>
      <c r="APL13" s="193"/>
      <c r="APM13" s="193"/>
      <c r="APN13" s="193"/>
      <c r="APO13" s="193"/>
      <c r="APP13" s="193"/>
      <c r="APQ13" s="193"/>
      <c r="APR13" s="193"/>
      <c r="APS13" s="193"/>
      <c r="APT13" s="193"/>
      <c r="APU13" s="193"/>
      <c r="APV13" s="193"/>
      <c r="APW13" s="193"/>
      <c r="APX13" s="193"/>
      <c r="APY13" s="193"/>
      <c r="APZ13" s="193"/>
      <c r="AQA13" s="193"/>
      <c r="AQB13" s="193"/>
      <c r="AQC13" s="193"/>
      <c r="AQD13" s="193"/>
      <c r="AQE13" s="193"/>
      <c r="AQF13" s="193"/>
      <c r="AQG13" s="193"/>
      <c r="AQH13" s="193"/>
      <c r="AQI13" s="193"/>
      <c r="AQJ13" s="193"/>
      <c r="AQK13" s="193"/>
      <c r="AQL13" s="193"/>
      <c r="AQM13" s="193"/>
      <c r="AQN13" s="193"/>
      <c r="AQO13" s="193"/>
      <c r="AQP13" s="193"/>
      <c r="AQQ13" s="193"/>
      <c r="AQR13" s="193"/>
      <c r="AQS13" s="193"/>
      <c r="AQT13" s="193"/>
      <c r="AQU13" s="193"/>
      <c r="AQV13" s="193"/>
      <c r="AQW13" s="193"/>
      <c r="AQX13" s="193"/>
      <c r="AQY13" s="193"/>
      <c r="AQZ13" s="193"/>
      <c r="ARA13" s="194"/>
      <c r="ARB13" s="192" t="s">
        <v>86</v>
      </c>
      <c r="ARC13" s="193"/>
      <c r="ARD13" s="193"/>
      <c r="ARE13" s="193"/>
      <c r="ARF13" s="193"/>
      <c r="ARG13" s="193"/>
      <c r="ARH13" s="193"/>
      <c r="ARI13" s="193"/>
      <c r="ARJ13" s="193"/>
      <c r="ARK13" s="193"/>
      <c r="ARL13" s="193"/>
      <c r="ARM13" s="193"/>
      <c r="ARN13" s="193"/>
      <c r="ARO13" s="193"/>
      <c r="ARP13" s="193"/>
      <c r="ARQ13" s="193"/>
      <c r="ARR13" s="193"/>
      <c r="ARS13" s="193"/>
      <c r="ART13" s="193"/>
      <c r="ARU13" s="193"/>
      <c r="ARV13" s="193"/>
      <c r="ARW13" s="193"/>
      <c r="ARX13" s="193"/>
      <c r="ARY13" s="193"/>
      <c r="ARZ13" s="193"/>
      <c r="ASA13" s="193"/>
      <c r="ASB13" s="193"/>
      <c r="ASC13" s="193"/>
      <c r="ASD13" s="193"/>
      <c r="ASE13" s="193"/>
      <c r="ASF13" s="193"/>
      <c r="ASG13" s="193"/>
      <c r="ASH13" s="193"/>
      <c r="ASI13" s="193"/>
      <c r="ASJ13" s="193"/>
      <c r="ASK13" s="193"/>
      <c r="ASL13" s="193"/>
      <c r="ASM13" s="193"/>
      <c r="ASN13" s="193"/>
      <c r="ASO13" s="193"/>
      <c r="ASP13" s="193"/>
      <c r="ASQ13" s="193"/>
      <c r="ASR13" s="193"/>
      <c r="ASS13" s="193"/>
      <c r="AST13" s="193"/>
      <c r="ASU13" s="193"/>
      <c r="ASV13" s="193"/>
      <c r="ASW13" s="193"/>
      <c r="ASX13" s="193"/>
      <c r="ASY13" s="193"/>
      <c r="ASZ13" s="193"/>
      <c r="ATA13" s="193"/>
      <c r="ATB13" s="193"/>
      <c r="ATC13" s="193"/>
      <c r="ATD13" s="193"/>
      <c r="ATE13" s="193"/>
      <c r="ATF13" s="193"/>
      <c r="ATG13" s="193"/>
      <c r="ATH13" s="193"/>
      <c r="ATI13" s="194"/>
      <c r="ATJ13" s="192" t="s">
        <v>85</v>
      </c>
      <c r="ATK13" s="193"/>
      <c r="ATL13" s="193"/>
      <c r="ATM13" s="193"/>
      <c r="ATN13" s="193"/>
      <c r="ATO13" s="193"/>
      <c r="ATP13" s="193"/>
      <c r="ATQ13" s="193"/>
      <c r="ATR13" s="193"/>
      <c r="ATS13" s="193"/>
      <c r="ATT13" s="193"/>
      <c r="ATU13" s="193"/>
      <c r="ATV13" s="193"/>
      <c r="ATW13" s="193"/>
      <c r="ATX13" s="193"/>
      <c r="ATY13" s="193"/>
      <c r="ATZ13" s="193"/>
      <c r="AUA13" s="193"/>
      <c r="AUB13" s="193"/>
      <c r="AUC13" s="193"/>
      <c r="AUD13" s="193"/>
      <c r="AUE13" s="193"/>
      <c r="AUF13" s="193"/>
      <c r="AUG13" s="193"/>
      <c r="AUH13" s="193"/>
      <c r="AUI13" s="193"/>
      <c r="AUJ13" s="193"/>
      <c r="AUK13" s="193"/>
      <c r="AUL13" s="193"/>
      <c r="AUM13" s="193"/>
      <c r="AUN13" s="193"/>
      <c r="AUO13" s="193"/>
      <c r="AUP13" s="193"/>
      <c r="AUQ13" s="193"/>
      <c r="AUR13" s="193"/>
      <c r="AUS13" s="193"/>
      <c r="AUT13" s="193"/>
      <c r="AUU13" s="193"/>
      <c r="AUV13" s="193"/>
      <c r="AUW13" s="193"/>
      <c r="AUX13" s="193"/>
      <c r="AUY13" s="193"/>
      <c r="AUZ13" s="193"/>
      <c r="AVA13" s="193"/>
      <c r="AVB13" s="193"/>
      <c r="AVC13" s="193"/>
      <c r="AVD13" s="193"/>
      <c r="AVE13" s="193"/>
      <c r="AVF13" s="193"/>
      <c r="AVG13" s="193"/>
      <c r="AVH13" s="193"/>
      <c r="AVI13" s="193"/>
      <c r="AVJ13" s="193"/>
      <c r="AVK13" s="193"/>
      <c r="AVL13" s="193"/>
      <c r="AVM13" s="193"/>
      <c r="AVN13" s="193"/>
      <c r="AVO13" s="193"/>
      <c r="AVP13" s="193"/>
      <c r="AVQ13" s="194"/>
      <c r="AVR13" s="192" t="s">
        <v>84</v>
      </c>
      <c r="AVS13" s="193"/>
      <c r="AVT13" s="193"/>
      <c r="AVU13" s="193"/>
      <c r="AVV13" s="193"/>
      <c r="AVW13" s="193"/>
      <c r="AVX13" s="193"/>
      <c r="AVY13" s="193"/>
      <c r="AVZ13" s="193"/>
      <c r="AWA13" s="193"/>
      <c r="AWB13" s="193"/>
      <c r="AWC13" s="193"/>
      <c r="AWD13" s="193"/>
      <c r="AWE13" s="193"/>
      <c r="AWF13" s="193"/>
      <c r="AWG13" s="193"/>
      <c r="AWH13" s="193"/>
      <c r="AWI13" s="193"/>
      <c r="AWJ13" s="193"/>
      <c r="AWK13" s="193"/>
      <c r="AWL13" s="193"/>
      <c r="AWM13" s="193"/>
      <c r="AWN13" s="193"/>
      <c r="AWO13" s="193"/>
      <c r="AWP13" s="193"/>
      <c r="AWQ13" s="193"/>
      <c r="AWR13" s="193"/>
      <c r="AWS13" s="193"/>
      <c r="AWT13" s="193"/>
      <c r="AWU13" s="193"/>
      <c r="AWV13" s="193"/>
      <c r="AWW13" s="193"/>
      <c r="AWX13" s="193"/>
      <c r="AWY13" s="193"/>
      <c r="AWZ13" s="193"/>
      <c r="AXA13" s="193"/>
      <c r="AXB13" s="193"/>
      <c r="AXC13" s="193"/>
      <c r="AXD13" s="193"/>
      <c r="AXE13" s="193"/>
      <c r="AXF13" s="193"/>
      <c r="AXG13" s="193"/>
      <c r="AXH13" s="193"/>
      <c r="AXI13" s="193"/>
      <c r="AXJ13" s="193"/>
      <c r="AXK13" s="193"/>
      <c r="AXL13" s="193"/>
      <c r="AXM13" s="193"/>
      <c r="AXN13" s="193"/>
      <c r="AXO13" s="193"/>
      <c r="AXP13" s="193"/>
      <c r="AXQ13" s="193"/>
      <c r="AXR13" s="193"/>
      <c r="AXS13" s="193"/>
      <c r="AXT13" s="193"/>
      <c r="AXU13" s="193"/>
      <c r="AXV13" s="193"/>
      <c r="AXW13" s="193"/>
      <c r="AXX13" s="193"/>
      <c r="AXY13" s="194"/>
      <c r="AXZ13" s="192" t="s">
        <v>83</v>
      </c>
      <c r="AYA13" s="193"/>
      <c r="AYB13" s="193"/>
      <c r="AYC13" s="193"/>
      <c r="AYD13" s="193"/>
      <c r="AYE13" s="193"/>
      <c r="AYF13" s="193"/>
      <c r="AYG13" s="193"/>
      <c r="AYH13" s="193"/>
      <c r="AYI13" s="193"/>
      <c r="AYJ13" s="193"/>
      <c r="AYK13" s="193"/>
      <c r="AYL13" s="193"/>
      <c r="AYM13" s="193"/>
      <c r="AYN13" s="193"/>
      <c r="AYO13" s="193"/>
      <c r="AYP13" s="193"/>
      <c r="AYQ13" s="193"/>
      <c r="AYR13" s="193"/>
      <c r="AYS13" s="193"/>
      <c r="AYT13" s="193"/>
      <c r="AYU13" s="193"/>
      <c r="AYV13" s="193"/>
      <c r="AYW13" s="193"/>
      <c r="AYX13" s="193"/>
      <c r="AYY13" s="193"/>
      <c r="AYZ13" s="193"/>
      <c r="AZA13" s="193"/>
      <c r="AZB13" s="193"/>
      <c r="AZC13" s="193"/>
      <c r="AZD13" s="193"/>
      <c r="AZE13" s="193"/>
      <c r="AZF13" s="193"/>
      <c r="AZG13" s="193"/>
      <c r="AZH13" s="193"/>
      <c r="AZI13" s="193"/>
      <c r="AZJ13" s="193"/>
      <c r="AZK13" s="193"/>
      <c r="AZL13" s="193"/>
      <c r="AZM13" s="193"/>
      <c r="AZN13" s="193"/>
      <c r="AZO13" s="193"/>
      <c r="AZP13" s="193"/>
      <c r="AZQ13" s="193"/>
      <c r="AZR13" s="193"/>
      <c r="AZS13" s="193"/>
      <c r="AZT13" s="193"/>
      <c r="AZU13" s="193"/>
      <c r="AZV13" s="193"/>
      <c r="AZW13" s="193"/>
      <c r="AZX13" s="193"/>
      <c r="AZY13" s="193"/>
      <c r="AZZ13" s="193"/>
      <c r="BAA13" s="193"/>
      <c r="BAB13" s="193"/>
      <c r="BAC13" s="193"/>
      <c r="BAD13" s="193"/>
      <c r="BAE13" s="193"/>
      <c r="BAF13" s="193"/>
      <c r="BAG13" s="194"/>
      <c r="BAH13" s="192" t="s">
        <v>82</v>
      </c>
      <c r="BAI13" s="193"/>
      <c r="BAJ13" s="193"/>
      <c r="BAK13" s="193"/>
      <c r="BAL13" s="193"/>
      <c r="BAM13" s="193"/>
      <c r="BAN13" s="193"/>
      <c r="BAO13" s="193"/>
      <c r="BAP13" s="193"/>
      <c r="BAQ13" s="193"/>
      <c r="BAR13" s="193"/>
      <c r="BAS13" s="193"/>
      <c r="BAT13" s="193"/>
      <c r="BAU13" s="193"/>
      <c r="BAV13" s="193"/>
      <c r="BAW13" s="193"/>
      <c r="BAX13" s="193"/>
      <c r="BAY13" s="193"/>
      <c r="BAZ13" s="193"/>
      <c r="BBA13" s="193"/>
      <c r="BBB13" s="193"/>
      <c r="BBC13" s="193"/>
      <c r="BBD13" s="193"/>
      <c r="BBE13" s="193"/>
      <c r="BBF13" s="193"/>
      <c r="BBG13" s="193"/>
      <c r="BBH13" s="193"/>
      <c r="BBI13" s="193"/>
      <c r="BBJ13" s="193"/>
      <c r="BBK13" s="193"/>
      <c r="BBL13" s="193"/>
      <c r="BBM13" s="193"/>
      <c r="BBN13" s="193"/>
      <c r="BBO13" s="193"/>
      <c r="BBP13" s="193"/>
      <c r="BBQ13" s="193"/>
      <c r="BBR13" s="193"/>
      <c r="BBS13" s="193"/>
      <c r="BBT13" s="193"/>
      <c r="BBU13" s="193"/>
      <c r="BBV13" s="193"/>
      <c r="BBW13" s="193"/>
      <c r="BBX13" s="193"/>
      <c r="BBY13" s="193"/>
      <c r="BBZ13" s="193"/>
      <c r="BCA13" s="193"/>
      <c r="BCB13" s="193"/>
      <c r="BCC13" s="193"/>
      <c r="BCD13" s="193"/>
      <c r="BCE13" s="193"/>
      <c r="BCF13" s="193"/>
      <c r="BCG13" s="193"/>
      <c r="BCH13" s="193"/>
      <c r="BCI13" s="193"/>
      <c r="BCJ13" s="193"/>
      <c r="BCK13" s="193"/>
      <c r="BCL13" s="193"/>
      <c r="BCM13" s="193"/>
      <c r="BCN13" s="193"/>
      <c r="BCO13" s="194"/>
      <c r="BCP13" s="192" t="s">
        <v>81</v>
      </c>
      <c r="BCQ13" s="193"/>
      <c r="BCR13" s="193"/>
      <c r="BCS13" s="193"/>
      <c r="BCT13" s="193"/>
      <c r="BCU13" s="193"/>
      <c r="BCV13" s="193"/>
      <c r="BCW13" s="193"/>
      <c r="BCX13" s="193"/>
      <c r="BCY13" s="193"/>
      <c r="BCZ13" s="193"/>
      <c r="BDA13" s="193"/>
      <c r="BDB13" s="193"/>
      <c r="BDC13" s="193"/>
      <c r="BDD13" s="193"/>
      <c r="BDE13" s="193"/>
      <c r="BDF13" s="193"/>
      <c r="BDG13" s="193"/>
      <c r="BDH13" s="193"/>
      <c r="BDI13" s="193"/>
      <c r="BDJ13" s="193"/>
      <c r="BDK13" s="193"/>
      <c r="BDL13" s="193"/>
      <c r="BDM13" s="193"/>
      <c r="BDN13" s="193"/>
      <c r="BDO13" s="193"/>
      <c r="BDP13" s="193"/>
      <c r="BDQ13" s="193"/>
      <c r="BDR13" s="193"/>
      <c r="BDS13" s="193"/>
      <c r="BDT13" s="193"/>
      <c r="BDU13" s="193"/>
      <c r="BDV13" s="193"/>
      <c r="BDW13" s="193"/>
      <c r="BDX13" s="193"/>
      <c r="BDY13" s="193"/>
      <c r="BDZ13" s="193"/>
      <c r="BEA13" s="193"/>
      <c r="BEB13" s="193"/>
      <c r="BEC13" s="193"/>
      <c r="BED13" s="193"/>
      <c r="BEE13" s="193"/>
      <c r="BEF13" s="193"/>
      <c r="BEG13" s="193"/>
      <c r="BEH13" s="193"/>
      <c r="BEI13" s="193"/>
      <c r="BEJ13" s="193"/>
      <c r="BEK13" s="193"/>
      <c r="BEL13" s="193"/>
      <c r="BEM13" s="193"/>
      <c r="BEN13" s="193"/>
      <c r="BEO13" s="193"/>
      <c r="BEP13" s="193"/>
      <c r="BEQ13" s="193"/>
      <c r="BER13" s="193"/>
      <c r="BES13" s="193"/>
      <c r="BET13" s="193"/>
      <c r="BEU13" s="193"/>
      <c r="BEV13" s="193"/>
      <c r="BEW13" s="194"/>
      <c r="BEX13" s="192" t="s">
        <v>80</v>
      </c>
      <c r="BEY13" s="193"/>
      <c r="BEZ13" s="193"/>
      <c r="BFA13" s="193"/>
      <c r="BFB13" s="193"/>
      <c r="BFC13" s="193"/>
      <c r="BFD13" s="193"/>
      <c r="BFE13" s="193"/>
      <c r="BFF13" s="193"/>
      <c r="BFG13" s="193"/>
      <c r="BFH13" s="193"/>
      <c r="BFI13" s="193"/>
      <c r="BFJ13" s="193"/>
      <c r="BFK13" s="193"/>
      <c r="BFL13" s="193"/>
      <c r="BFM13" s="193"/>
      <c r="BFN13" s="193"/>
      <c r="BFO13" s="193"/>
      <c r="BFP13" s="193"/>
      <c r="BFQ13" s="193"/>
      <c r="BFR13" s="193"/>
      <c r="BFS13" s="193"/>
      <c r="BFT13" s="193"/>
      <c r="BFU13" s="193"/>
      <c r="BFV13" s="193"/>
      <c r="BFW13" s="193"/>
      <c r="BFX13" s="193"/>
      <c r="BFY13" s="193"/>
      <c r="BFZ13" s="193"/>
      <c r="BGA13" s="193"/>
      <c r="BGB13" s="193"/>
      <c r="BGC13" s="193"/>
      <c r="BGD13" s="193"/>
      <c r="BGE13" s="193"/>
      <c r="BGF13" s="193"/>
      <c r="BGG13" s="193"/>
      <c r="BGH13" s="193"/>
      <c r="BGI13" s="193"/>
      <c r="BGJ13" s="193"/>
      <c r="BGK13" s="193"/>
      <c r="BGL13" s="193"/>
      <c r="BGM13" s="193"/>
      <c r="BGN13" s="193"/>
      <c r="BGO13" s="193"/>
      <c r="BGP13" s="193"/>
      <c r="BGQ13" s="193"/>
      <c r="BGR13" s="193"/>
      <c r="BGS13" s="193"/>
      <c r="BGT13" s="193"/>
      <c r="BGU13" s="193"/>
      <c r="BGV13" s="193"/>
      <c r="BGW13" s="193"/>
      <c r="BGX13" s="193"/>
      <c r="BGY13" s="193"/>
      <c r="BGZ13" s="193"/>
      <c r="BHA13" s="193"/>
      <c r="BHB13" s="193"/>
      <c r="BHC13" s="193"/>
      <c r="BHD13" s="193"/>
      <c r="BHE13" s="194"/>
      <c r="BHF13" s="192" t="s">
        <v>79</v>
      </c>
      <c r="BHG13" s="193"/>
      <c r="BHH13" s="193"/>
      <c r="BHI13" s="193"/>
      <c r="BHJ13" s="193"/>
      <c r="BHK13" s="193"/>
      <c r="BHL13" s="193"/>
      <c r="BHM13" s="193"/>
      <c r="BHN13" s="193"/>
      <c r="BHO13" s="193"/>
      <c r="BHP13" s="193"/>
      <c r="BHQ13" s="193"/>
      <c r="BHR13" s="193"/>
      <c r="BHS13" s="193"/>
      <c r="BHT13" s="193"/>
      <c r="BHU13" s="193"/>
      <c r="BHV13" s="193"/>
      <c r="BHW13" s="193"/>
      <c r="BHX13" s="193"/>
      <c r="BHY13" s="193"/>
      <c r="BHZ13" s="193"/>
      <c r="BIA13" s="193"/>
      <c r="BIB13" s="193"/>
      <c r="BIC13" s="193"/>
      <c r="BID13" s="193"/>
      <c r="BIE13" s="193"/>
      <c r="BIF13" s="193"/>
      <c r="BIG13" s="193"/>
      <c r="BIH13" s="193"/>
      <c r="BII13" s="193"/>
      <c r="BIJ13" s="193"/>
      <c r="BIK13" s="193"/>
      <c r="BIL13" s="193"/>
      <c r="BIM13" s="193"/>
      <c r="BIN13" s="193"/>
      <c r="BIO13" s="193"/>
      <c r="BIP13" s="193"/>
      <c r="BIQ13" s="193"/>
      <c r="BIR13" s="193"/>
      <c r="BIS13" s="193"/>
      <c r="BIT13" s="193"/>
      <c r="BIU13" s="193"/>
      <c r="BIV13" s="193"/>
      <c r="BIW13" s="193"/>
      <c r="BIX13" s="193"/>
      <c r="BIY13" s="193"/>
      <c r="BIZ13" s="193"/>
      <c r="BJA13" s="193"/>
      <c r="BJB13" s="193"/>
      <c r="BJC13" s="193"/>
      <c r="BJD13" s="193"/>
      <c r="BJE13" s="193"/>
      <c r="BJF13" s="193"/>
      <c r="BJG13" s="193"/>
      <c r="BJH13" s="193"/>
      <c r="BJI13" s="193"/>
      <c r="BJJ13" s="193"/>
      <c r="BJK13" s="193"/>
      <c r="BJL13" s="193"/>
      <c r="BJM13" s="194"/>
      <c r="BJN13" s="192" t="s">
        <v>78</v>
      </c>
      <c r="BJO13" s="193"/>
      <c r="BJP13" s="193"/>
      <c r="BJQ13" s="193"/>
      <c r="BJR13" s="193"/>
      <c r="BJS13" s="193"/>
      <c r="BJT13" s="193"/>
      <c r="BJU13" s="193"/>
      <c r="BJV13" s="193"/>
      <c r="BJW13" s="193"/>
      <c r="BJX13" s="193"/>
      <c r="BJY13" s="193"/>
      <c r="BJZ13" s="193"/>
      <c r="BKA13" s="193"/>
      <c r="BKB13" s="193"/>
      <c r="BKC13" s="193"/>
      <c r="BKD13" s="193"/>
      <c r="BKE13" s="193"/>
      <c r="BKF13" s="193"/>
      <c r="BKG13" s="193"/>
      <c r="BKH13" s="193"/>
      <c r="BKI13" s="193"/>
      <c r="BKJ13" s="193"/>
      <c r="BKK13" s="193"/>
      <c r="BKL13" s="193"/>
      <c r="BKM13" s="193"/>
      <c r="BKN13" s="193"/>
      <c r="BKO13" s="193"/>
      <c r="BKP13" s="193"/>
      <c r="BKQ13" s="193"/>
      <c r="BKR13" s="193"/>
      <c r="BKS13" s="193"/>
      <c r="BKT13" s="193"/>
      <c r="BKU13" s="193"/>
      <c r="BKV13" s="193"/>
      <c r="BKW13" s="193"/>
      <c r="BKX13" s="193"/>
      <c r="BKY13" s="193"/>
      <c r="BKZ13" s="193"/>
      <c r="BLA13" s="193"/>
      <c r="BLB13" s="193"/>
      <c r="BLC13" s="193"/>
      <c r="BLD13" s="193"/>
      <c r="BLE13" s="193"/>
      <c r="BLF13" s="193"/>
      <c r="BLG13" s="193"/>
      <c r="BLH13" s="193"/>
      <c r="BLI13" s="193"/>
      <c r="BLJ13" s="193"/>
      <c r="BLK13" s="193"/>
      <c r="BLL13" s="193"/>
      <c r="BLM13" s="193"/>
      <c r="BLN13" s="193"/>
      <c r="BLO13" s="193"/>
      <c r="BLP13" s="193"/>
      <c r="BLQ13" s="193"/>
      <c r="BLR13" s="193"/>
      <c r="BLS13" s="193"/>
      <c r="BLT13" s="193"/>
      <c r="BLU13" s="194"/>
      <c r="BLV13" s="90"/>
    </row>
    <row r="14" spans="1:1686" ht="12.75" customHeight="1" thickBot="1" x14ac:dyDescent="0.35">
      <c r="B14" s="96"/>
      <c r="C14" s="209"/>
      <c r="D14" s="145"/>
      <c r="E14" s="211"/>
      <c r="F14" s="103"/>
      <c r="G14" s="104"/>
      <c r="H14" s="104"/>
      <c r="I14" s="104"/>
      <c r="J14" s="195" t="s">
        <v>33</v>
      </c>
      <c r="K14" s="195"/>
      <c r="L14" s="195"/>
      <c r="M14" s="195"/>
      <c r="N14" s="104"/>
      <c r="O14" s="104"/>
      <c r="P14" s="196" t="s">
        <v>21</v>
      </c>
      <c r="Q14" s="196"/>
      <c r="R14" s="196"/>
      <c r="S14" s="196"/>
      <c r="T14" s="129"/>
      <c r="U14" s="129"/>
      <c r="V14" s="195" t="s">
        <v>34</v>
      </c>
      <c r="W14" s="195"/>
      <c r="X14" s="195"/>
      <c r="Y14" s="195"/>
      <c r="Z14" s="104"/>
      <c r="AA14" s="104"/>
      <c r="AB14" s="196" t="s">
        <v>22</v>
      </c>
      <c r="AC14" s="196"/>
      <c r="AD14" s="196"/>
      <c r="AE14" s="196"/>
      <c r="AF14" s="129"/>
      <c r="AG14" s="129"/>
      <c r="AH14" s="195" t="s">
        <v>35</v>
      </c>
      <c r="AI14" s="195"/>
      <c r="AJ14" s="195"/>
      <c r="AK14" s="195"/>
      <c r="AL14" s="104"/>
      <c r="AM14" s="104"/>
      <c r="AN14" s="196" t="s">
        <v>23</v>
      </c>
      <c r="AO14" s="196"/>
      <c r="AP14" s="196"/>
      <c r="AQ14" s="196"/>
      <c r="AR14" s="129"/>
      <c r="AS14" s="129"/>
      <c r="AT14" s="195" t="s">
        <v>36</v>
      </c>
      <c r="AU14" s="195"/>
      <c r="AV14" s="195"/>
      <c r="AW14" s="195"/>
      <c r="AX14" s="104"/>
      <c r="AY14" s="104"/>
      <c r="AZ14" s="196" t="s">
        <v>24</v>
      </c>
      <c r="BA14" s="196"/>
      <c r="BB14" s="196"/>
      <c r="BC14" s="196"/>
      <c r="BD14" s="129"/>
      <c r="BE14" s="129"/>
      <c r="BF14" s="195" t="s">
        <v>37</v>
      </c>
      <c r="BG14" s="195"/>
      <c r="BH14" s="195"/>
      <c r="BI14" s="195"/>
      <c r="BJ14" s="104"/>
      <c r="BK14" s="104"/>
      <c r="BL14" s="104"/>
      <c r="BM14" s="105"/>
      <c r="BN14" s="103"/>
      <c r="BO14" s="104"/>
      <c r="BP14" s="104"/>
      <c r="BQ14" s="104"/>
      <c r="BR14" s="195" t="s">
        <v>33</v>
      </c>
      <c r="BS14" s="195"/>
      <c r="BT14" s="195"/>
      <c r="BU14" s="195"/>
      <c r="BV14" s="104"/>
      <c r="BW14" s="104"/>
      <c r="BX14" s="196" t="s">
        <v>21</v>
      </c>
      <c r="BY14" s="196"/>
      <c r="BZ14" s="196"/>
      <c r="CA14" s="196"/>
      <c r="CB14" s="129"/>
      <c r="CC14" s="129"/>
      <c r="CD14" s="195" t="s">
        <v>34</v>
      </c>
      <c r="CE14" s="195"/>
      <c r="CF14" s="195"/>
      <c r="CG14" s="195"/>
      <c r="CH14" s="104"/>
      <c r="CI14" s="104"/>
      <c r="CJ14" s="196" t="s">
        <v>22</v>
      </c>
      <c r="CK14" s="196"/>
      <c r="CL14" s="196"/>
      <c r="CM14" s="196"/>
      <c r="CN14" s="129"/>
      <c r="CO14" s="129"/>
      <c r="CP14" s="195" t="s">
        <v>35</v>
      </c>
      <c r="CQ14" s="195"/>
      <c r="CR14" s="195"/>
      <c r="CS14" s="195"/>
      <c r="CT14" s="104"/>
      <c r="CU14" s="104"/>
      <c r="CV14" s="196" t="s">
        <v>23</v>
      </c>
      <c r="CW14" s="196"/>
      <c r="CX14" s="196"/>
      <c r="CY14" s="196"/>
      <c r="CZ14" s="129"/>
      <c r="DA14" s="129"/>
      <c r="DB14" s="195" t="s">
        <v>36</v>
      </c>
      <c r="DC14" s="195"/>
      <c r="DD14" s="195"/>
      <c r="DE14" s="195"/>
      <c r="DF14" s="104"/>
      <c r="DG14" s="104"/>
      <c r="DH14" s="196" t="s">
        <v>24</v>
      </c>
      <c r="DI14" s="196"/>
      <c r="DJ14" s="196"/>
      <c r="DK14" s="196"/>
      <c r="DL14" s="129"/>
      <c r="DM14" s="129"/>
      <c r="DN14" s="195" t="s">
        <v>37</v>
      </c>
      <c r="DO14" s="195"/>
      <c r="DP14" s="195"/>
      <c r="DQ14" s="195"/>
      <c r="DR14" s="104"/>
      <c r="DS14" s="104"/>
      <c r="DT14" s="104"/>
      <c r="DU14" s="105"/>
      <c r="DV14" s="103"/>
      <c r="DW14" s="104"/>
      <c r="DX14" s="104"/>
      <c r="DY14" s="104"/>
      <c r="DZ14" s="195" t="s">
        <v>33</v>
      </c>
      <c r="EA14" s="195"/>
      <c r="EB14" s="195"/>
      <c r="EC14" s="195"/>
      <c r="ED14" s="104"/>
      <c r="EE14" s="104"/>
      <c r="EF14" s="196" t="s">
        <v>21</v>
      </c>
      <c r="EG14" s="196"/>
      <c r="EH14" s="196"/>
      <c r="EI14" s="196"/>
      <c r="EJ14" s="129"/>
      <c r="EK14" s="129"/>
      <c r="EL14" s="195" t="s">
        <v>34</v>
      </c>
      <c r="EM14" s="195"/>
      <c r="EN14" s="195"/>
      <c r="EO14" s="195"/>
      <c r="EP14" s="104"/>
      <c r="EQ14" s="104"/>
      <c r="ER14" s="196" t="s">
        <v>22</v>
      </c>
      <c r="ES14" s="196"/>
      <c r="ET14" s="196"/>
      <c r="EU14" s="196"/>
      <c r="EV14" s="129"/>
      <c r="EW14" s="129"/>
      <c r="EX14" s="195" t="s">
        <v>35</v>
      </c>
      <c r="EY14" s="195"/>
      <c r="EZ14" s="195"/>
      <c r="FA14" s="195"/>
      <c r="FB14" s="104"/>
      <c r="FC14" s="104"/>
      <c r="FD14" s="196" t="s">
        <v>23</v>
      </c>
      <c r="FE14" s="196"/>
      <c r="FF14" s="196"/>
      <c r="FG14" s="196"/>
      <c r="FH14" s="129"/>
      <c r="FI14" s="129"/>
      <c r="FJ14" s="195" t="s">
        <v>36</v>
      </c>
      <c r="FK14" s="195"/>
      <c r="FL14" s="195"/>
      <c r="FM14" s="195"/>
      <c r="FN14" s="104"/>
      <c r="FO14" s="104"/>
      <c r="FP14" s="196" t="s">
        <v>24</v>
      </c>
      <c r="FQ14" s="196"/>
      <c r="FR14" s="196"/>
      <c r="FS14" s="196"/>
      <c r="FT14" s="129"/>
      <c r="FU14" s="129"/>
      <c r="FV14" s="195" t="s">
        <v>37</v>
      </c>
      <c r="FW14" s="195"/>
      <c r="FX14" s="195"/>
      <c r="FY14" s="195"/>
      <c r="FZ14" s="104"/>
      <c r="GA14" s="104"/>
      <c r="GB14" s="104"/>
      <c r="GC14" s="105"/>
      <c r="GD14" s="103"/>
      <c r="GE14" s="104"/>
      <c r="GF14" s="104"/>
      <c r="GG14" s="104"/>
      <c r="GH14" s="195" t="s">
        <v>33</v>
      </c>
      <c r="GI14" s="195"/>
      <c r="GJ14" s="195"/>
      <c r="GK14" s="195"/>
      <c r="GL14" s="104"/>
      <c r="GM14" s="104"/>
      <c r="GN14" s="196" t="s">
        <v>21</v>
      </c>
      <c r="GO14" s="196"/>
      <c r="GP14" s="196"/>
      <c r="GQ14" s="196"/>
      <c r="GR14" s="129"/>
      <c r="GS14" s="129"/>
      <c r="GT14" s="195" t="s">
        <v>34</v>
      </c>
      <c r="GU14" s="195"/>
      <c r="GV14" s="195"/>
      <c r="GW14" s="195"/>
      <c r="GX14" s="104"/>
      <c r="GY14" s="104"/>
      <c r="GZ14" s="196" t="s">
        <v>22</v>
      </c>
      <c r="HA14" s="196"/>
      <c r="HB14" s="196"/>
      <c r="HC14" s="196"/>
      <c r="HD14" s="129"/>
      <c r="HE14" s="129"/>
      <c r="HF14" s="195" t="s">
        <v>35</v>
      </c>
      <c r="HG14" s="195"/>
      <c r="HH14" s="195"/>
      <c r="HI14" s="195"/>
      <c r="HJ14" s="104"/>
      <c r="HK14" s="104"/>
      <c r="HL14" s="196" t="s">
        <v>23</v>
      </c>
      <c r="HM14" s="196"/>
      <c r="HN14" s="196"/>
      <c r="HO14" s="196"/>
      <c r="HP14" s="129"/>
      <c r="HQ14" s="129"/>
      <c r="HR14" s="195" t="s">
        <v>36</v>
      </c>
      <c r="HS14" s="195"/>
      <c r="HT14" s="195"/>
      <c r="HU14" s="195"/>
      <c r="HV14" s="104"/>
      <c r="HW14" s="104"/>
      <c r="HX14" s="196" t="s">
        <v>24</v>
      </c>
      <c r="HY14" s="196"/>
      <c r="HZ14" s="196"/>
      <c r="IA14" s="196"/>
      <c r="IB14" s="129"/>
      <c r="IC14" s="129"/>
      <c r="ID14" s="195" t="s">
        <v>37</v>
      </c>
      <c r="IE14" s="195"/>
      <c r="IF14" s="195"/>
      <c r="IG14" s="195"/>
      <c r="IH14" s="104"/>
      <c r="II14" s="104"/>
      <c r="IJ14" s="104"/>
      <c r="IK14" s="105"/>
      <c r="IL14" s="103"/>
      <c r="IM14" s="104"/>
      <c r="IN14" s="104"/>
      <c r="IO14" s="104"/>
      <c r="IP14" s="195" t="s">
        <v>33</v>
      </c>
      <c r="IQ14" s="195"/>
      <c r="IR14" s="195"/>
      <c r="IS14" s="195"/>
      <c r="IT14" s="104"/>
      <c r="IU14" s="104"/>
      <c r="IV14" s="196" t="s">
        <v>21</v>
      </c>
      <c r="IW14" s="196"/>
      <c r="IX14" s="196"/>
      <c r="IY14" s="196"/>
      <c r="IZ14" s="129"/>
      <c r="JA14" s="129"/>
      <c r="JB14" s="195" t="s">
        <v>34</v>
      </c>
      <c r="JC14" s="195"/>
      <c r="JD14" s="195"/>
      <c r="JE14" s="195"/>
      <c r="JF14" s="104"/>
      <c r="JG14" s="104"/>
      <c r="JH14" s="196" t="s">
        <v>22</v>
      </c>
      <c r="JI14" s="196"/>
      <c r="JJ14" s="196"/>
      <c r="JK14" s="196"/>
      <c r="JL14" s="129"/>
      <c r="JM14" s="129"/>
      <c r="JN14" s="195" t="s">
        <v>35</v>
      </c>
      <c r="JO14" s="195"/>
      <c r="JP14" s="195"/>
      <c r="JQ14" s="195"/>
      <c r="JR14" s="104"/>
      <c r="JS14" s="104"/>
      <c r="JT14" s="196" t="s">
        <v>23</v>
      </c>
      <c r="JU14" s="196"/>
      <c r="JV14" s="196"/>
      <c r="JW14" s="196"/>
      <c r="JX14" s="129"/>
      <c r="JY14" s="129"/>
      <c r="JZ14" s="195" t="s">
        <v>36</v>
      </c>
      <c r="KA14" s="195"/>
      <c r="KB14" s="195"/>
      <c r="KC14" s="195"/>
      <c r="KD14" s="104"/>
      <c r="KE14" s="104"/>
      <c r="KF14" s="196" t="s">
        <v>24</v>
      </c>
      <c r="KG14" s="196"/>
      <c r="KH14" s="196"/>
      <c r="KI14" s="196"/>
      <c r="KJ14" s="129"/>
      <c r="KK14" s="129"/>
      <c r="KL14" s="195" t="s">
        <v>37</v>
      </c>
      <c r="KM14" s="195"/>
      <c r="KN14" s="195"/>
      <c r="KO14" s="195"/>
      <c r="KP14" s="104"/>
      <c r="KQ14" s="104"/>
      <c r="KR14" s="104"/>
      <c r="KS14" s="105"/>
      <c r="KT14" s="103"/>
      <c r="KU14" s="104"/>
      <c r="KV14" s="104"/>
      <c r="KW14" s="104"/>
      <c r="KX14" s="195" t="s">
        <v>33</v>
      </c>
      <c r="KY14" s="195"/>
      <c r="KZ14" s="195"/>
      <c r="LA14" s="195"/>
      <c r="LB14" s="104"/>
      <c r="LC14" s="104"/>
      <c r="LD14" s="196" t="s">
        <v>21</v>
      </c>
      <c r="LE14" s="196"/>
      <c r="LF14" s="196"/>
      <c r="LG14" s="196"/>
      <c r="LH14" s="129"/>
      <c r="LI14" s="129"/>
      <c r="LJ14" s="195" t="s">
        <v>34</v>
      </c>
      <c r="LK14" s="195"/>
      <c r="LL14" s="195"/>
      <c r="LM14" s="195"/>
      <c r="LN14" s="104"/>
      <c r="LO14" s="104"/>
      <c r="LP14" s="196" t="s">
        <v>22</v>
      </c>
      <c r="LQ14" s="196"/>
      <c r="LR14" s="196"/>
      <c r="LS14" s="196"/>
      <c r="LT14" s="129"/>
      <c r="LU14" s="129"/>
      <c r="LV14" s="195" t="s">
        <v>35</v>
      </c>
      <c r="LW14" s="195"/>
      <c r="LX14" s="195"/>
      <c r="LY14" s="195"/>
      <c r="LZ14" s="104"/>
      <c r="MA14" s="104"/>
      <c r="MB14" s="196" t="s">
        <v>23</v>
      </c>
      <c r="MC14" s="196"/>
      <c r="MD14" s="196"/>
      <c r="ME14" s="196"/>
      <c r="MF14" s="129"/>
      <c r="MG14" s="129"/>
      <c r="MH14" s="195" t="s">
        <v>36</v>
      </c>
      <c r="MI14" s="195"/>
      <c r="MJ14" s="195"/>
      <c r="MK14" s="195"/>
      <c r="ML14" s="104"/>
      <c r="MM14" s="104"/>
      <c r="MN14" s="196" t="s">
        <v>24</v>
      </c>
      <c r="MO14" s="196"/>
      <c r="MP14" s="196"/>
      <c r="MQ14" s="196"/>
      <c r="MR14" s="129"/>
      <c r="MS14" s="129"/>
      <c r="MT14" s="195" t="s">
        <v>37</v>
      </c>
      <c r="MU14" s="195"/>
      <c r="MV14" s="195"/>
      <c r="MW14" s="195"/>
      <c r="MX14" s="104"/>
      <c r="MY14" s="104"/>
      <c r="MZ14" s="104"/>
      <c r="NA14" s="105"/>
      <c r="NB14" s="103"/>
      <c r="NC14" s="104"/>
      <c r="ND14" s="104"/>
      <c r="NE14" s="104"/>
      <c r="NF14" s="195" t="s">
        <v>33</v>
      </c>
      <c r="NG14" s="195"/>
      <c r="NH14" s="195"/>
      <c r="NI14" s="195"/>
      <c r="NJ14" s="104"/>
      <c r="NK14" s="104"/>
      <c r="NL14" s="196" t="s">
        <v>21</v>
      </c>
      <c r="NM14" s="196"/>
      <c r="NN14" s="196"/>
      <c r="NO14" s="196"/>
      <c r="NP14" s="129"/>
      <c r="NQ14" s="129"/>
      <c r="NR14" s="195" t="s">
        <v>34</v>
      </c>
      <c r="NS14" s="195"/>
      <c r="NT14" s="195"/>
      <c r="NU14" s="195"/>
      <c r="NV14" s="104"/>
      <c r="NW14" s="104"/>
      <c r="NX14" s="196" t="s">
        <v>22</v>
      </c>
      <c r="NY14" s="196"/>
      <c r="NZ14" s="196"/>
      <c r="OA14" s="196"/>
      <c r="OB14" s="129"/>
      <c r="OC14" s="129"/>
      <c r="OD14" s="195" t="s">
        <v>35</v>
      </c>
      <c r="OE14" s="195"/>
      <c r="OF14" s="195"/>
      <c r="OG14" s="195"/>
      <c r="OH14" s="104"/>
      <c r="OI14" s="104"/>
      <c r="OJ14" s="196" t="s">
        <v>23</v>
      </c>
      <c r="OK14" s="196"/>
      <c r="OL14" s="196"/>
      <c r="OM14" s="196"/>
      <c r="ON14" s="129"/>
      <c r="OO14" s="129"/>
      <c r="OP14" s="195" t="s">
        <v>36</v>
      </c>
      <c r="OQ14" s="195"/>
      <c r="OR14" s="195"/>
      <c r="OS14" s="195"/>
      <c r="OT14" s="104"/>
      <c r="OU14" s="104"/>
      <c r="OV14" s="196" t="s">
        <v>24</v>
      </c>
      <c r="OW14" s="196"/>
      <c r="OX14" s="196"/>
      <c r="OY14" s="196"/>
      <c r="OZ14" s="129"/>
      <c r="PA14" s="129"/>
      <c r="PB14" s="195" t="s">
        <v>37</v>
      </c>
      <c r="PC14" s="195"/>
      <c r="PD14" s="195"/>
      <c r="PE14" s="195"/>
      <c r="PF14" s="104"/>
      <c r="PG14" s="104"/>
      <c r="PH14" s="104"/>
      <c r="PI14" s="105"/>
      <c r="PJ14" s="103"/>
      <c r="PK14" s="104"/>
      <c r="PL14" s="104"/>
      <c r="PM14" s="104"/>
      <c r="PN14" s="195" t="s">
        <v>33</v>
      </c>
      <c r="PO14" s="195"/>
      <c r="PP14" s="195"/>
      <c r="PQ14" s="195"/>
      <c r="PR14" s="104"/>
      <c r="PS14" s="104"/>
      <c r="PT14" s="196" t="s">
        <v>21</v>
      </c>
      <c r="PU14" s="196"/>
      <c r="PV14" s="196"/>
      <c r="PW14" s="196"/>
      <c r="PX14" s="129"/>
      <c r="PY14" s="129"/>
      <c r="PZ14" s="195" t="s">
        <v>34</v>
      </c>
      <c r="QA14" s="195"/>
      <c r="QB14" s="195"/>
      <c r="QC14" s="195"/>
      <c r="QD14" s="104"/>
      <c r="QE14" s="104"/>
      <c r="QF14" s="196" t="s">
        <v>22</v>
      </c>
      <c r="QG14" s="196"/>
      <c r="QH14" s="196"/>
      <c r="QI14" s="196"/>
      <c r="QJ14" s="129"/>
      <c r="QK14" s="129"/>
      <c r="QL14" s="195" t="s">
        <v>35</v>
      </c>
      <c r="QM14" s="195"/>
      <c r="QN14" s="195"/>
      <c r="QO14" s="195"/>
      <c r="QP14" s="104"/>
      <c r="QQ14" s="104"/>
      <c r="QR14" s="196" t="s">
        <v>23</v>
      </c>
      <c r="QS14" s="196"/>
      <c r="QT14" s="196"/>
      <c r="QU14" s="196"/>
      <c r="QV14" s="129"/>
      <c r="QW14" s="129"/>
      <c r="QX14" s="195" t="s">
        <v>36</v>
      </c>
      <c r="QY14" s="195"/>
      <c r="QZ14" s="195"/>
      <c r="RA14" s="195"/>
      <c r="RB14" s="104"/>
      <c r="RC14" s="104"/>
      <c r="RD14" s="196" t="s">
        <v>24</v>
      </c>
      <c r="RE14" s="196"/>
      <c r="RF14" s="196"/>
      <c r="RG14" s="196"/>
      <c r="RH14" s="129"/>
      <c r="RI14" s="129"/>
      <c r="RJ14" s="195" t="s">
        <v>37</v>
      </c>
      <c r="RK14" s="195"/>
      <c r="RL14" s="195"/>
      <c r="RM14" s="195"/>
      <c r="RN14" s="104"/>
      <c r="RO14" s="104"/>
      <c r="RP14" s="104"/>
      <c r="RQ14" s="105"/>
      <c r="RR14" s="103"/>
      <c r="RS14" s="104"/>
      <c r="RT14" s="104"/>
      <c r="RU14" s="104"/>
      <c r="RV14" s="195" t="s">
        <v>33</v>
      </c>
      <c r="RW14" s="195"/>
      <c r="RX14" s="195"/>
      <c r="RY14" s="195"/>
      <c r="RZ14" s="104"/>
      <c r="SA14" s="104"/>
      <c r="SB14" s="196" t="s">
        <v>21</v>
      </c>
      <c r="SC14" s="196"/>
      <c r="SD14" s="196"/>
      <c r="SE14" s="196"/>
      <c r="SF14" s="129"/>
      <c r="SG14" s="129"/>
      <c r="SH14" s="195" t="s">
        <v>34</v>
      </c>
      <c r="SI14" s="195"/>
      <c r="SJ14" s="195"/>
      <c r="SK14" s="195"/>
      <c r="SL14" s="104"/>
      <c r="SM14" s="104"/>
      <c r="SN14" s="196" t="s">
        <v>22</v>
      </c>
      <c r="SO14" s="196"/>
      <c r="SP14" s="196"/>
      <c r="SQ14" s="196"/>
      <c r="SR14" s="129"/>
      <c r="SS14" s="129"/>
      <c r="ST14" s="195" t="s">
        <v>35</v>
      </c>
      <c r="SU14" s="195"/>
      <c r="SV14" s="195"/>
      <c r="SW14" s="195"/>
      <c r="SX14" s="104"/>
      <c r="SY14" s="104"/>
      <c r="SZ14" s="196" t="s">
        <v>23</v>
      </c>
      <c r="TA14" s="196"/>
      <c r="TB14" s="196"/>
      <c r="TC14" s="196"/>
      <c r="TD14" s="129"/>
      <c r="TE14" s="129"/>
      <c r="TF14" s="195" t="s">
        <v>36</v>
      </c>
      <c r="TG14" s="195"/>
      <c r="TH14" s="195"/>
      <c r="TI14" s="195"/>
      <c r="TJ14" s="104"/>
      <c r="TK14" s="104"/>
      <c r="TL14" s="196" t="s">
        <v>24</v>
      </c>
      <c r="TM14" s="196"/>
      <c r="TN14" s="196"/>
      <c r="TO14" s="196"/>
      <c r="TP14" s="129"/>
      <c r="TQ14" s="129"/>
      <c r="TR14" s="195" t="s">
        <v>37</v>
      </c>
      <c r="TS14" s="195"/>
      <c r="TT14" s="195"/>
      <c r="TU14" s="195"/>
      <c r="TV14" s="104"/>
      <c r="TW14" s="104"/>
      <c r="TX14" s="104"/>
      <c r="TY14" s="105"/>
      <c r="TZ14" s="103"/>
      <c r="UA14" s="104"/>
      <c r="UB14" s="104"/>
      <c r="UC14" s="104"/>
      <c r="UD14" s="195" t="s">
        <v>33</v>
      </c>
      <c r="UE14" s="195"/>
      <c r="UF14" s="195"/>
      <c r="UG14" s="195"/>
      <c r="UH14" s="104"/>
      <c r="UI14" s="104"/>
      <c r="UJ14" s="196" t="s">
        <v>21</v>
      </c>
      <c r="UK14" s="196"/>
      <c r="UL14" s="196"/>
      <c r="UM14" s="196"/>
      <c r="UN14" s="129"/>
      <c r="UO14" s="129"/>
      <c r="UP14" s="195" t="s">
        <v>34</v>
      </c>
      <c r="UQ14" s="195"/>
      <c r="UR14" s="195"/>
      <c r="US14" s="195"/>
      <c r="UT14" s="104"/>
      <c r="UU14" s="104"/>
      <c r="UV14" s="196" t="s">
        <v>22</v>
      </c>
      <c r="UW14" s="196"/>
      <c r="UX14" s="196"/>
      <c r="UY14" s="196"/>
      <c r="UZ14" s="129"/>
      <c r="VA14" s="129"/>
      <c r="VB14" s="195" t="s">
        <v>35</v>
      </c>
      <c r="VC14" s="195"/>
      <c r="VD14" s="195"/>
      <c r="VE14" s="195"/>
      <c r="VF14" s="104"/>
      <c r="VG14" s="104"/>
      <c r="VH14" s="196" t="s">
        <v>23</v>
      </c>
      <c r="VI14" s="196"/>
      <c r="VJ14" s="196"/>
      <c r="VK14" s="196"/>
      <c r="VL14" s="129"/>
      <c r="VM14" s="129"/>
      <c r="VN14" s="195" t="s">
        <v>36</v>
      </c>
      <c r="VO14" s="195"/>
      <c r="VP14" s="195"/>
      <c r="VQ14" s="195"/>
      <c r="VR14" s="104"/>
      <c r="VS14" s="104"/>
      <c r="VT14" s="196" t="s">
        <v>24</v>
      </c>
      <c r="VU14" s="196"/>
      <c r="VV14" s="196"/>
      <c r="VW14" s="196"/>
      <c r="VX14" s="129"/>
      <c r="VY14" s="129"/>
      <c r="VZ14" s="195" t="s">
        <v>37</v>
      </c>
      <c r="WA14" s="195"/>
      <c r="WB14" s="195"/>
      <c r="WC14" s="195"/>
      <c r="WD14" s="104"/>
      <c r="WE14" s="104"/>
      <c r="WF14" s="104"/>
      <c r="WG14" s="105"/>
      <c r="WH14" s="103"/>
      <c r="WI14" s="104"/>
      <c r="WJ14" s="104"/>
      <c r="WK14" s="104"/>
      <c r="WL14" s="195" t="s">
        <v>33</v>
      </c>
      <c r="WM14" s="195"/>
      <c r="WN14" s="195"/>
      <c r="WO14" s="195"/>
      <c r="WP14" s="104"/>
      <c r="WQ14" s="104"/>
      <c r="WR14" s="196" t="s">
        <v>21</v>
      </c>
      <c r="WS14" s="196"/>
      <c r="WT14" s="196"/>
      <c r="WU14" s="196"/>
      <c r="WV14" s="129"/>
      <c r="WW14" s="129"/>
      <c r="WX14" s="195" t="s">
        <v>34</v>
      </c>
      <c r="WY14" s="195"/>
      <c r="WZ14" s="195"/>
      <c r="XA14" s="195"/>
      <c r="XB14" s="104"/>
      <c r="XC14" s="104"/>
      <c r="XD14" s="196" t="s">
        <v>22</v>
      </c>
      <c r="XE14" s="196"/>
      <c r="XF14" s="196"/>
      <c r="XG14" s="196"/>
      <c r="XH14" s="129"/>
      <c r="XI14" s="129"/>
      <c r="XJ14" s="195" t="s">
        <v>35</v>
      </c>
      <c r="XK14" s="195"/>
      <c r="XL14" s="195"/>
      <c r="XM14" s="195"/>
      <c r="XN14" s="104"/>
      <c r="XO14" s="104"/>
      <c r="XP14" s="196" t="s">
        <v>23</v>
      </c>
      <c r="XQ14" s="196"/>
      <c r="XR14" s="196"/>
      <c r="XS14" s="196"/>
      <c r="XT14" s="129"/>
      <c r="XU14" s="129"/>
      <c r="XV14" s="195" t="s">
        <v>36</v>
      </c>
      <c r="XW14" s="195"/>
      <c r="XX14" s="195"/>
      <c r="XY14" s="195"/>
      <c r="XZ14" s="104"/>
      <c r="YA14" s="104"/>
      <c r="YB14" s="196" t="s">
        <v>24</v>
      </c>
      <c r="YC14" s="196"/>
      <c r="YD14" s="196"/>
      <c r="YE14" s="196"/>
      <c r="YF14" s="129"/>
      <c r="YG14" s="129"/>
      <c r="YH14" s="195" t="s">
        <v>37</v>
      </c>
      <c r="YI14" s="195"/>
      <c r="YJ14" s="195"/>
      <c r="YK14" s="195"/>
      <c r="YL14" s="104"/>
      <c r="YM14" s="104"/>
      <c r="YN14" s="104"/>
      <c r="YO14" s="105"/>
      <c r="YP14" s="103"/>
      <c r="YQ14" s="104"/>
      <c r="YR14" s="104"/>
      <c r="YS14" s="104"/>
      <c r="YT14" s="195" t="s">
        <v>33</v>
      </c>
      <c r="YU14" s="195"/>
      <c r="YV14" s="195"/>
      <c r="YW14" s="195"/>
      <c r="YX14" s="104"/>
      <c r="YY14" s="104"/>
      <c r="YZ14" s="196" t="s">
        <v>21</v>
      </c>
      <c r="ZA14" s="196"/>
      <c r="ZB14" s="196"/>
      <c r="ZC14" s="196"/>
      <c r="ZD14" s="129"/>
      <c r="ZE14" s="129"/>
      <c r="ZF14" s="195" t="s">
        <v>34</v>
      </c>
      <c r="ZG14" s="195"/>
      <c r="ZH14" s="195"/>
      <c r="ZI14" s="195"/>
      <c r="ZJ14" s="104"/>
      <c r="ZK14" s="104"/>
      <c r="ZL14" s="196" t="s">
        <v>22</v>
      </c>
      <c r="ZM14" s="196"/>
      <c r="ZN14" s="196"/>
      <c r="ZO14" s="196"/>
      <c r="ZP14" s="129"/>
      <c r="ZQ14" s="129"/>
      <c r="ZR14" s="195" t="s">
        <v>35</v>
      </c>
      <c r="ZS14" s="195"/>
      <c r="ZT14" s="195"/>
      <c r="ZU14" s="195"/>
      <c r="ZV14" s="104"/>
      <c r="ZW14" s="104"/>
      <c r="ZX14" s="196" t="s">
        <v>23</v>
      </c>
      <c r="ZY14" s="196"/>
      <c r="ZZ14" s="196"/>
      <c r="AAA14" s="196"/>
      <c r="AAB14" s="129"/>
      <c r="AAC14" s="129"/>
      <c r="AAD14" s="195" t="s">
        <v>36</v>
      </c>
      <c r="AAE14" s="195"/>
      <c r="AAF14" s="195"/>
      <c r="AAG14" s="195"/>
      <c r="AAH14" s="104"/>
      <c r="AAI14" s="104"/>
      <c r="AAJ14" s="196" t="s">
        <v>24</v>
      </c>
      <c r="AAK14" s="196"/>
      <c r="AAL14" s="196"/>
      <c r="AAM14" s="196"/>
      <c r="AAN14" s="129"/>
      <c r="AAO14" s="129"/>
      <c r="AAP14" s="195" t="s">
        <v>37</v>
      </c>
      <c r="AAQ14" s="195"/>
      <c r="AAR14" s="195"/>
      <c r="AAS14" s="195"/>
      <c r="AAT14" s="104"/>
      <c r="AAU14" s="104"/>
      <c r="AAV14" s="104"/>
      <c r="AAW14" s="105"/>
      <c r="AAX14" s="103"/>
      <c r="AAY14" s="104"/>
      <c r="AAZ14" s="104"/>
      <c r="ABA14" s="104"/>
      <c r="ABB14" s="195" t="s">
        <v>33</v>
      </c>
      <c r="ABC14" s="195"/>
      <c r="ABD14" s="195"/>
      <c r="ABE14" s="195"/>
      <c r="ABF14" s="104"/>
      <c r="ABG14" s="104"/>
      <c r="ABH14" s="196" t="s">
        <v>21</v>
      </c>
      <c r="ABI14" s="196"/>
      <c r="ABJ14" s="196"/>
      <c r="ABK14" s="196"/>
      <c r="ABL14" s="129"/>
      <c r="ABM14" s="129"/>
      <c r="ABN14" s="195" t="s">
        <v>34</v>
      </c>
      <c r="ABO14" s="195"/>
      <c r="ABP14" s="195"/>
      <c r="ABQ14" s="195"/>
      <c r="ABR14" s="104"/>
      <c r="ABS14" s="104"/>
      <c r="ABT14" s="196" t="s">
        <v>22</v>
      </c>
      <c r="ABU14" s="196"/>
      <c r="ABV14" s="196"/>
      <c r="ABW14" s="196"/>
      <c r="ABX14" s="129"/>
      <c r="ABY14" s="129"/>
      <c r="ABZ14" s="195" t="s">
        <v>35</v>
      </c>
      <c r="ACA14" s="195"/>
      <c r="ACB14" s="195"/>
      <c r="ACC14" s="195"/>
      <c r="ACD14" s="104"/>
      <c r="ACE14" s="104"/>
      <c r="ACF14" s="196" t="s">
        <v>23</v>
      </c>
      <c r="ACG14" s="196"/>
      <c r="ACH14" s="196"/>
      <c r="ACI14" s="196"/>
      <c r="ACJ14" s="129"/>
      <c r="ACK14" s="129"/>
      <c r="ACL14" s="195" t="s">
        <v>36</v>
      </c>
      <c r="ACM14" s="195"/>
      <c r="ACN14" s="195"/>
      <c r="ACO14" s="195"/>
      <c r="ACP14" s="104"/>
      <c r="ACQ14" s="104"/>
      <c r="ACR14" s="196" t="s">
        <v>24</v>
      </c>
      <c r="ACS14" s="196"/>
      <c r="ACT14" s="196"/>
      <c r="ACU14" s="196"/>
      <c r="ACV14" s="129"/>
      <c r="ACW14" s="129"/>
      <c r="ACX14" s="195" t="s">
        <v>37</v>
      </c>
      <c r="ACY14" s="195"/>
      <c r="ACZ14" s="195"/>
      <c r="ADA14" s="195"/>
      <c r="ADB14" s="104"/>
      <c r="ADC14" s="104"/>
      <c r="ADD14" s="104"/>
      <c r="ADE14" s="105"/>
      <c r="ADF14" s="103"/>
      <c r="ADG14" s="104"/>
      <c r="ADH14" s="104"/>
      <c r="ADI14" s="104"/>
      <c r="ADJ14" s="195" t="s">
        <v>33</v>
      </c>
      <c r="ADK14" s="195"/>
      <c r="ADL14" s="195"/>
      <c r="ADM14" s="195"/>
      <c r="ADN14" s="104"/>
      <c r="ADO14" s="104"/>
      <c r="ADP14" s="196" t="s">
        <v>21</v>
      </c>
      <c r="ADQ14" s="196"/>
      <c r="ADR14" s="196"/>
      <c r="ADS14" s="196"/>
      <c r="ADT14" s="129"/>
      <c r="ADU14" s="129"/>
      <c r="ADV14" s="195" t="s">
        <v>34</v>
      </c>
      <c r="ADW14" s="195"/>
      <c r="ADX14" s="195"/>
      <c r="ADY14" s="195"/>
      <c r="ADZ14" s="104"/>
      <c r="AEA14" s="104"/>
      <c r="AEB14" s="196" t="s">
        <v>22</v>
      </c>
      <c r="AEC14" s="196"/>
      <c r="AED14" s="196"/>
      <c r="AEE14" s="196"/>
      <c r="AEF14" s="129"/>
      <c r="AEG14" s="129"/>
      <c r="AEH14" s="195" t="s">
        <v>35</v>
      </c>
      <c r="AEI14" s="195"/>
      <c r="AEJ14" s="195"/>
      <c r="AEK14" s="195"/>
      <c r="AEL14" s="104"/>
      <c r="AEM14" s="104"/>
      <c r="AEN14" s="196" t="s">
        <v>23</v>
      </c>
      <c r="AEO14" s="196"/>
      <c r="AEP14" s="196"/>
      <c r="AEQ14" s="196"/>
      <c r="AER14" s="129"/>
      <c r="AES14" s="129"/>
      <c r="AET14" s="195" t="s">
        <v>36</v>
      </c>
      <c r="AEU14" s="195"/>
      <c r="AEV14" s="195"/>
      <c r="AEW14" s="195"/>
      <c r="AEX14" s="104"/>
      <c r="AEY14" s="104"/>
      <c r="AEZ14" s="196" t="s">
        <v>24</v>
      </c>
      <c r="AFA14" s="196"/>
      <c r="AFB14" s="196"/>
      <c r="AFC14" s="196"/>
      <c r="AFD14" s="129"/>
      <c r="AFE14" s="129"/>
      <c r="AFF14" s="195" t="s">
        <v>37</v>
      </c>
      <c r="AFG14" s="195"/>
      <c r="AFH14" s="195"/>
      <c r="AFI14" s="195"/>
      <c r="AFJ14" s="104"/>
      <c r="AFK14" s="104"/>
      <c r="AFL14" s="104"/>
      <c r="AFM14" s="105"/>
      <c r="AFN14" s="103"/>
      <c r="AFO14" s="104"/>
      <c r="AFP14" s="104"/>
      <c r="AFQ14" s="104"/>
      <c r="AFR14" s="195" t="s">
        <v>33</v>
      </c>
      <c r="AFS14" s="195"/>
      <c r="AFT14" s="195"/>
      <c r="AFU14" s="195"/>
      <c r="AFV14" s="104"/>
      <c r="AFW14" s="104"/>
      <c r="AFX14" s="196" t="s">
        <v>21</v>
      </c>
      <c r="AFY14" s="196"/>
      <c r="AFZ14" s="196"/>
      <c r="AGA14" s="196"/>
      <c r="AGB14" s="129"/>
      <c r="AGC14" s="129"/>
      <c r="AGD14" s="195" t="s">
        <v>34</v>
      </c>
      <c r="AGE14" s="195"/>
      <c r="AGF14" s="195"/>
      <c r="AGG14" s="195"/>
      <c r="AGH14" s="104"/>
      <c r="AGI14" s="104"/>
      <c r="AGJ14" s="196" t="s">
        <v>22</v>
      </c>
      <c r="AGK14" s="196"/>
      <c r="AGL14" s="196"/>
      <c r="AGM14" s="196"/>
      <c r="AGN14" s="129"/>
      <c r="AGO14" s="129"/>
      <c r="AGP14" s="195" t="s">
        <v>35</v>
      </c>
      <c r="AGQ14" s="195"/>
      <c r="AGR14" s="195"/>
      <c r="AGS14" s="195"/>
      <c r="AGT14" s="104"/>
      <c r="AGU14" s="104"/>
      <c r="AGV14" s="196" t="s">
        <v>23</v>
      </c>
      <c r="AGW14" s="196"/>
      <c r="AGX14" s="196"/>
      <c r="AGY14" s="196"/>
      <c r="AGZ14" s="129"/>
      <c r="AHA14" s="129"/>
      <c r="AHB14" s="195" t="s">
        <v>36</v>
      </c>
      <c r="AHC14" s="195"/>
      <c r="AHD14" s="195"/>
      <c r="AHE14" s="195"/>
      <c r="AHF14" s="104"/>
      <c r="AHG14" s="104"/>
      <c r="AHH14" s="196" t="s">
        <v>24</v>
      </c>
      <c r="AHI14" s="196"/>
      <c r="AHJ14" s="196"/>
      <c r="AHK14" s="196"/>
      <c r="AHL14" s="129"/>
      <c r="AHM14" s="129"/>
      <c r="AHN14" s="195" t="s">
        <v>37</v>
      </c>
      <c r="AHO14" s="195"/>
      <c r="AHP14" s="195"/>
      <c r="AHQ14" s="195"/>
      <c r="AHR14" s="104"/>
      <c r="AHS14" s="104"/>
      <c r="AHT14" s="104"/>
      <c r="AHU14" s="105"/>
      <c r="AHV14" s="103"/>
      <c r="AHW14" s="104"/>
      <c r="AHX14" s="104"/>
      <c r="AHY14" s="104"/>
      <c r="AHZ14" s="195" t="s">
        <v>33</v>
      </c>
      <c r="AIA14" s="195"/>
      <c r="AIB14" s="195"/>
      <c r="AIC14" s="195"/>
      <c r="AID14" s="104"/>
      <c r="AIE14" s="104"/>
      <c r="AIF14" s="196" t="s">
        <v>21</v>
      </c>
      <c r="AIG14" s="196"/>
      <c r="AIH14" s="196"/>
      <c r="AII14" s="196"/>
      <c r="AIJ14" s="129"/>
      <c r="AIK14" s="129"/>
      <c r="AIL14" s="195" t="s">
        <v>34</v>
      </c>
      <c r="AIM14" s="195"/>
      <c r="AIN14" s="195"/>
      <c r="AIO14" s="195"/>
      <c r="AIP14" s="104"/>
      <c r="AIQ14" s="104"/>
      <c r="AIR14" s="196" t="s">
        <v>22</v>
      </c>
      <c r="AIS14" s="196"/>
      <c r="AIT14" s="196"/>
      <c r="AIU14" s="196"/>
      <c r="AIV14" s="129"/>
      <c r="AIW14" s="129"/>
      <c r="AIX14" s="195" t="s">
        <v>35</v>
      </c>
      <c r="AIY14" s="195"/>
      <c r="AIZ14" s="195"/>
      <c r="AJA14" s="195"/>
      <c r="AJB14" s="104"/>
      <c r="AJC14" s="104"/>
      <c r="AJD14" s="196" t="s">
        <v>23</v>
      </c>
      <c r="AJE14" s="196"/>
      <c r="AJF14" s="196"/>
      <c r="AJG14" s="196"/>
      <c r="AJH14" s="129"/>
      <c r="AJI14" s="129"/>
      <c r="AJJ14" s="195" t="s">
        <v>36</v>
      </c>
      <c r="AJK14" s="195"/>
      <c r="AJL14" s="195"/>
      <c r="AJM14" s="195"/>
      <c r="AJN14" s="104"/>
      <c r="AJO14" s="104"/>
      <c r="AJP14" s="196" t="s">
        <v>24</v>
      </c>
      <c r="AJQ14" s="196"/>
      <c r="AJR14" s="196"/>
      <c r="AJS14" s="196"/>
      <c r="AJT14" s="129"/>
      <c r="AJU14" s="129"/>
      <c r="AJV14" s="195" t="s">
        <v>37</v>
      </c>
      <c r="AJW14" s="195"/>
      <c r="AJX14" s="195"/>
      <c r="AJY14" s="195"/>
      <c r="AJZ14" s="104"/>
      <c r="AKA14" s="104"/>
      <c r="AKB14" s="104"/>
      <c r="AKC14" s="105"/>
      <c r="AKD14" s="103"/>
      <c r="AKE14" s="104"/>
      <c r="AKF14" s="104"/>
      <c r="AKG14" s="104"/>
      <c r="AKH14" s="195" t="s">
        <v>33</v>
      </c>
      <c r="AKI14" s="195"/>
      <c r="AKJ14" s="195"/>
      <c r="AKK14" s="195"/>
      <c r="AKL14" s="104"/>
      <c r="AKM14" s="104"/>
      <c r="AKN14" s="196" t="s">
        <v>21</v>
      </c>
      <c r="AKO14" s="196"/>
      <c r="AKP14" s="196"/>
      <c r="AKQ14" s="196"/>
      <c r="AKR14" s="129"/>
      <c r="AKS14" s="129"/>
      <c r="AKT14" s="195" t="s">
        <v>34</v>
      </c>
      <c r="AKU14" s="195"/>
      <c r="AKV14" s="195"/>
      <c r="AKW14" s="195"/>
      <c r="AKX14" s="104"/>
      <c r="AKY14" s="104"/>
      <c r="AKZ14" s="196" t="s">
        <v>22</v>
      </c>
      <c r="ALA14" s="196"/>
      <c r="ALB14" s="196"/>
      <c r="ALC14" s="196"/>
      <c r="ALD14" s="129"/>
      <c r="ALE14" s="129"/>
      <c r="ALF14" s="195" t="s">
        <v>35</v>
      </c>
      <c r="ALG14" s="195"/>
      <c r="ALH14" s="195"/>
      <c r="ALI14" s="195"/>
      <c r="ALJ14" s="104"/>
      <c r="ALK14" s="104"/>
      <c r="ALL14" s="196" t="s">
        <v>23</v>
      </c>
      <c r="ALM14" s="196"/>
      <c r="ALN14" s="196"/>
      <c r="ALO14" s="196"/>
      <c r="ALP14" s="129"/>
      <c r="ALQ14" s="129"/>
      <c r="ALR14" s="195" t="s">
        <v>36</v>
      </c>
      <c r="ALS14" s="195"/>
      <c r="ALT14" s="195"/>
      <c r="ALU14" s="195"/>
      <c r="ALV14" s="104"/>
      <c r="ALW14" s="104"/>
      <c r="ALX14" s="196" t="s">
        <v>24</v>
      </c>
      <c r="ALY14" s="196"/>
      <c r="ALZ14" s="196"/>
      <c r="AMA14" s="196"/>
      <c r="AMB14" s="129"/>
      <c r="AMC14" s="129"/>
      <c r="AMD14" s="195" t="s">
        <v>37</v>
      </c>
      <c r="AME14" s="195"/>
      <c r="AMF14" s="195"/>
      <c r="AMG14" s="195"/>
      <c r="AMH14" s="104"/>
      <c r="AMI14" s="104"/>
      <c r="AMJ14" s="104"/>
      <c r="AMK14" s="105"/>
      <c r="AML14" s="103"/>
      <c r="AMM14" s="104"/>
      <c r="AMN14" s="104"/>
      <c r="AMO14" s="104"/>
      <c r="AMP14" s="195" t="s">
        <v>33</v>
      </c>
      <c r="AMQ14" s="195"/>
      <c r="AMR14" s="195"/>
      <c r="AMS14" s="195"/>
      <c r="AMT14" s="104"/>
      <c r="AMU14" s="104"/>
      <c r="AMV14" s="196" t="s">
        <v>21</v>
      </c>
      <c r="AMW14" s="196"/>
      <c r="AMX14" s="196"/>
      <c r="AMY14" s="196"/>
      <c r="AMZ14" s="129"/>
      <c r="ANA14" s="129"/>
      <c r="ANB14" s="195" t="s">
        <v>34</v>
      </c>
      <c r="ANC14" s="195"/>
      <c r="AND14" s="195"/>
      <c r="ANE14" s="195"/>
      <c r="ANF14" s="104"/>
      <c r="ANG14" s="104"/>
      <c r="ANH14" s="196" t="s">
        <v>22</v>
      </c>
      <c r="ANI14" s="196"/>
      <c r="ANJ14" s="196"/>
      <c r="ANK14" s="196"/>
      <c r="ANL14" s="129"/>
      <c r="ANM14" s="129"/>
      <c r="ANN14" s="195" t="s">
        <v>35</v>
      </c>
      <c r="ANO14" s="195"/>
      <c r="ANP14" s="195"/>
      <c r="ANQ14" s="195"/>
      <c r="ANR14" s="104"/>
      <c r="ANS14" s="104"/>
      <c r="ANT14" s="196" t="s">
        <v>23</v>
      </c>
      <c r="ANU14" s="196"/>
      <c r="ANV14" s="196"/>
      <c r="ANW14" s="196"/>
      <c r="ANX14" s="129"/>
      <c r="ANY14" s="129"/>
      <c r="ANZ14" s="195" t="s">
        <v>36</v>
      </c>
      <c r="AOA14" s="195"/>
      <c r="AOB14" s="195"/>
      <c r="AOC14" s="195"/>
      <c r="AOD14" s="104"/>
      <c r="AOE14" s="104"/>
      <c r="AOF14" s="196" t="s">
        <v>24</v>
      </c>
      <c r="AOG14" s="196"/>
      <c r="AOH14" s="196"/>
      <c r="AOI14" s="196"/>
      <c r="AOJ14" s="129"/>
      <c r="AOK14" s="129"/>
      <c r="AOL14" s="195" t="s">
        <v>37</v>
      </c>
      <c r="AOM14" s="195"/>
      <c r="AON14" s="195"/>
      <c r="AOO14" s="195"/>
      <c r="AOP14" s="104"/>
      <c r="AOQ14" s="104"/>
      <c r="AOR14" s="104"/>
      <c r="AOS14" s="105"/>
      <c r="AOT14" s="103"/>
      <c r="AOU14" s="104"/>
      <c r="AOV14" s="104"/>
      <c r="AOW14" s="104"/>
      <c r="AOX14" s="195" t="s">
        <v>33</v>
      </c>
      <c r="AOY14" s="195"/>
      <c r="AOZ14" s="195"/>
      <c r="APA14" s="195"/>
      <c r="APB14" s="104"/>
      <c r="APC14" s="104"/>
      <c r="APD14" s="196" t="s">
        <v>21</v>
      </c>
      <c r="APE14" s="196"/>
      <c r="APF14" s="196"/>
      <c r="APG14" s="196"/>
      <c r="APH14" s="129"/>
      <c r="API14" s="129"/>
      <c r="APJ14" s="195" t="s">
        <v>34</v>
      </c>
      <c r="APK14" s="195"/>
      <c r="APL14" s="195"/>
      <c r="APM14" s="195"/>
      <c r="APN14" s="104"/>
      <c r="APO14" s="104"/>
      <c r="APP14" s="196" t="s">
        <v>22</v>
      </c>
      <c r="APQ14" s="196"/>
      <c r="APR14" s="196"/>
      <c r="APS14" s="196"/>
      <c r="APT14" s="129"/>
      <c r="APU14" s="129"/>
      <c r="APV14" s="195" t="s">
        <v>35</v>
      </c>
      <c r="APW14" s="195"/>
      <c r="APX14" s="195"/>
      <c r="APY14" s="195"/>
      <c r="APZ14" s="104"/>
      <c r="AQA14" s="104"/>
      <c r="AQB14" s="196" t="s">
        <v>23</v>
      </c>
      <c r="AQC14" s="196"/>
      <c r="AQD14" s="196"/>
      <c r="AQE14" s="196"/>
      <c r="AQF14" s="129"/>
      <c r="AQG14" s="129"/>
      <c r="AQH14" s="195" t="s">
        <v>36</v>
      </c>
      <c r="AQI14" s="195"/>
      <c r="AQJ14" s="195"/>
      <c r="AQK14" s="195"/>
      <c r="AQL14" s="104"/>
      <c r="AQM14" s="104"/>
      <c r="AQN14" s="196" t="s">
        <v>24</v>
      </c>
      <c r="AQO14" s="196"/>
      <c r="AQP14" s="196"/>
      <c r="AQQ14" s="196"/>
      <c r="AQR14" s="129"/>
      <c r="AQS14" s="129"/>
      <c r="AQT14" s="195" t="s">
        <v>37</v>
      </c>
      <c r="AQU14" s="195"/>
      <c r="AQV14" s="195"/>
      <c r="AQW14" s="195"/>
      <c r="AQX14" s="104"/>
      <c r="AQY14" s="104"/>
      <c r="AQZ14" s="104"/>
      <c r="ARA14" s="105"/>
      <c r="ARB14" s="103"/>
      <c r="ARC14" s="104"/>
      <c r="ARD14" s="104"/>
      <c r="ARE14" s="104"/>
      <c r="ARF14" s="195" t="s">
        <v>33</v>
      </c>
      <c r="ARG14" s="195"/>
      <c r="ARH14" s="195"/>
      <c r="ARI14" s="195"/>
      <c r="ARJ14" s="104"/>
      <c r="ARK14" s="104"/>
      <c r="ARL14" s="196" t="s">
        <v>21</v>
      </c>
      <c r="ARM14" s="196"/>
      <c r="ARN14" s="196"/>
      <c r="ARO14" s="196"/>
      <c r="ARP14" s="129"/>
      <c r="ARQ14" s="129"/>
      <c r="ARR14" s="195" t="s">
        <v>34</v>
      </c>
      <c r="ARS14" s="195"/>
      <c r="ART14" s="195"/>
      <c r="ARU14" s="195"/>
      <c r="ARV14" s="104"/>
      <c r="ARW14" s="104"/>
      <c r="ARX14" s="196" t="s">
        <v>22</v>
      </c>
      <c r="ARY14" s="196"/>
      <c r="ARZ14" s="196"/>
      <c r="ASA14" s="196"/>
      <c r="ASB14" s="129"/>
      <c r="ASC14" s="129"/>
      <c r="ASD14" s="195" t="s">
        <v>35</v>
      </c>
      <c r="ASE14" s="195"/>
      <c r="ASF14" s="195"/>
      <c r="ASG14" s="195"/>
      <c r="ASH14" s="104"/>
      <c r="ASI14" s="104"/>
      <c r="ASJ14" s="196" t="s">
        <v>23</v>
      </c>
      <c r="ASK14" s="196"/>
      <c r="ASL14" s="196"/>
      <c r="ASM14" s="196"/>
      <c r="ASN14" s="129"/>
      <c r="ASO14" s="129"/>
      <c r="ASP14" s="195" t="s">
        <v>36</v>
      </c>
      <c r="ASQ14" s="195"/>
      <c r="ASR14" s="195"/>
      <c r="ASS14" s="195"/>
      <c r="AST14" s="104"/>
      <c r="ASU14" s="104"/>
      <c r="ASV14" s="196" t="s">
        <v>24</v>
      </c>
      <c r="ASW14" s="196"/>
      <c r="ASX14" s="196"/>
      <c r="ASY14" s="196"/>
      <c r="ASZ14" s="129"/>
      <c r="ATA14" s="129"/>
      <c r="ATB14" s="195" t="s">
        <v>37</v>
      </c>
      <c r="ATC14" s="195"/>
      <c r="ATD14" s="195"/>
      <c r="ATE14" s="195"/>
      <c r="ATF14" s="104"/>
      <c r="ATG14" s="104"/>
      <c r="ATH14" s="104"/>
      <c r="ATI14" s="105"/>
      <c r="ATJ14" s="103"/>
      <c r="ATK14" s="104"/>
      <c r="ATL14" s="104"/>
      <c r="ATM14" s="104"/>
      <c r="ATN14" s="195" t="s">
        <v>33</v>
      </c>
      <c r="ATO14" s="195"/>
      <c r="ATP14" s="195"/>
      <c r="ATQ14" s="195"/>
      <c r="ATR14" s="104"/>
      <c r="ATS14" s="104"/>
      <c r="ATT14" s="196" t="s">
        <v>21</v>
      </c>
      <c r="ATU14" s="196"/>
      <c r="ATV14" s="196"/>
      <c r="ATW14" s="196"/>
      <c r="ATX14" s="129"/>
      <c r="ATY14" s="129"/>
      <c r="ATZ14" s="195" t="s">
        <v>34</v>
      </c>
      <c r="AUA14" s="195"/>
      <c r="AUB14" s="195"/>
      <c r="AUC14" s="195"/>
      <c r="AUD14" s="104"/>
      <c r="AUE14" s="104"/>
      <c r="AUF14" s="196" t="s">
        <v>22</v>
      </c>
      <c r="AUG14" s="196"/>
      <c r="AUH14" s="196"/>
      <c r="AUI14" s="196"/>
      <c r="AUJ14" s="129"/>
      <c r="AUK14" s="129"/>
      <c r="AUL14" s="195" t="s">
        <v>35</v>
      </c>
      <c r="AUM14" s="195"/>
      <c r="AUN14" s="195"/>
      <c r="AUO14" s="195"/>
      <c r="AUP14" s="104"/>
      <c r="AUQ14" s="104"/>
      <c r="AUR14" s="196" t="s">
        <v>23</v>
      </c>
      <c r="AUS14" s="196"/>
      <c r="AUT14" s="196"/>
      <c r="AUU14" s="196"/>
      <c r="AUV14" s="129"/>
      <c r="AUW14" s="129"/>
      <c r="AUX14" s="195" t="s">
        <v>36</v>
      </c>
      <c r="AUY14" s="195"/>
      <c r="AUZ14" s="195"/>
      <c r="AVA14" s="195"/>
      <c r="AVB14" s="104"/>
      <c r="AVC14" s="104"/>
      <c r="AVD14" s="196" t="s">
        <v>24</v>
      </c>
      <c r="AVE14" s="196"/>
      <c r="AVF14" s="196"/>
      <c r="AVG14" s="196"/>
      <c r="AVH14" s="129"/>
      <c r="AVI14" s="129"/>
      <c r="AVJ14" s="195" t="s">
        <v>37</v>
      </c>
      <c r="AVK14" s="195"/>
      <c r="AVL14" s="195"/>
      <c r="AVM14" s="195"/>
      <c r="AVN14" s="104"/>
      <c r="AVO14" s="104"/>
      <c r="AVP14" s="104"/>
      <c r="AVQ14" s="105"/>
      <c r="AVR14" s="103"/>
      <c r="AVS14" s="104"/>
      <c r="AVT14" s="104"/>
      <c r="AVU14" s="104"/>
      <c r="AVV14" s="195" t="s">
        <v>33</v>
      </c>
      <c r="AVW14" s="195"/>
      <c r="AVX14" s="195"/>
      <c r="AVY14" s="195"/>
      <c r="AVZ14" s="104"/>
      <c r="AWA14" s="104"/>
      <c r="AWB14" s="196" t="s">
        <v>21</v>
      </c>
      <c r="AWC14" s="196"/>
      <c r="AWD14" s="196"/>
      <c r="AWE14" s="196"/>
      <c r="AWF14" s="129"/>
      <c r="AWG14" s="129"/>
      <c r="AWH14" s="195" t="s">
        <v>34</v>
      </c>
      <c r="AWI14" s="195"/>
      <c r="AWJ14" s="195"/>
      <c r="AWK14" s="195"/>
      <c r="AWL14" s="104"/>
      <c r="AWM14" s="104"/>
      <c r="AWN14" s="196" t="s">
        <v>22</v>
      </c>
      <c r="AWO14" s="196"/>
      <c r="AWP14" s="196"/>
      <c r="AWQ14" s="196"/>
      <c r="AWR14" s="129"/>
      <c r="AWS14" s="129"/>
      <c r="AWT14" s="195" t="s">
        <v>35</v>
      </c>
      <c r="AWU14" s="195"/>
      <c r="AWV14" s="195"/>
      <c r="AWW14" s="195"/>
      <c r="AWX14" s="104"/>
      <c r="AWY14" s="104"/>
      <c r="AWZ14" s="196" t="s">
        <v>23</v>
      </c>
      <c r="AXA14" s="196"/>
      <c r="AXB14" s="196"/>
      <c r="AXC14" s="196"/>
      <c r="AXD14" s="129"/>
      <c r="AXE14" s="129"/>
      <c r="AXF14" s="195" t="s">
        <v>36</v>
      </c>
      <c r="AXG14" s="195"/>
      <c r="AXH14" s="195"/>
      <c r="AXI14" s="195"/>
      <c r="AXJ14" s="104"/>
      <c r="AXK14" s="104"/>
      <c r="AXL14" s="196" t="s">
        <v>24</v>
      </c>
      <c r="AXM14" s="196"/>
      <c r="AXN14" s="196"/>
      <c r="AXO14" s="196"/>
      <c r="AXP14" s="129"/>
      <c r="AXQ14" s="129"/>
      <c r="AXR14" s="195" t="s">
        <v>37</v>
      </c>
      <c r="AXS14" s="195"/>
      <c r="AXT14" s="195"/>
      <c r="AXU14" s="195"/>
      <c r="AXV14" s="104"/>
      <c r="AXW14" s="104"/>
      <c r="AXX14" s="104"/>
      <c r="AXY14" s="105"/>
      <c r="AXZ14" s="103"/>
      <c r="AYA14" s="104"/>
      <c r="AYB14" s="104"/>
      <c r="AYC14" s="104"/>
      <c r="AYD14" s="195" t="s">
        <v>33</v>
      </c>
      <c r="AYE14" s="195"/>
      <c r="AYF14" s="195"/>
      <c r="AYG14" s="195"/>
      <c r="AYH14" s="104"/>
      <c r="AYI14" s="104"/>
      <c r="AYJ14" s="196" t="s">
        <v>21</v>
      </c>
      <c r="AYK14" s="196"/>
      <c r="AYL14" s="196"/>
      <c r="AYM14" s="196"/>
      <c r="AYN14" s="129"/>
      <c r="AYO14" s="129"/>
      <c r="AYP14" s="195" t="s">
        <v>34</v>
      </c>
      <c r="AYQ14" s="195"/>
      <c r="AYR14" s="195"/>
      <c r="AYS14" s="195"/>
      <c r="AYT14" s="104"/>
      <c r="AYU14" s="104"/>
      <c r="AYV14" s="196" t="s">
        <v>22</v>
      </c>
      <c r="AYW14" s="196"/>
      <c r="AYX14" s="196"/>
      <c r="AYY14" s="196"/>
      <c r="AYZ14" s="129"/>
      <c r="AZA14" s="129"/>
      <c r="AZB14" s="195" t="s">
        <v>35</v>
      </c>
      <c r="AZC14" s="195"/>
      <c r="AZD14" s="195"/>
      <c r="AZE14" s="195"/>
      <c r="AZF14" s="104"/>
      <c r="AZG14" s="104"/>
      <c r="AZH14" s="196" t="s">
        <v>23</v>
      </c>
      <c r="AZI14" s="196"/>
      <c r="AZJ14" s="196"/>
      <c r="AZK14" s="196"/>
      <c r="AZL14" s="129"/>
      <c r="AZM14" s="129"/>
      <c r="AZN14" s="195" t="s">
        <v>36</v>
      </c>
      <c r="AZO14" s="195"/>
      <c r="AZP14" s="195"/>
      <c r="AZQ14" s="195"/>
      <c r="AZR14" s="104"/>
      <c r="AZS14" s="104"/>
      <c r="AZT14" s="196" t="s">
        <v>24</v>
      </c>
      <c r="AZU14" s="196"/>
      <c r="AZV14" s="196"/>
      <c r="AZW14" s="196"/>
      <c r="AZX14" s="129"/>
      <c r="AZY14" s="129"/>
      <c r="AZZ14" s="195" t="s">
        <v>37</v>
      </c>
      <c r="BAA14" s="195"/>
      <c r="BAB14" s="195"/>
      <c r="BAC14" s="195"/>
      <c r="BAD14" s="104"/>
      <c r="BAE14" s="104"/>
      <c r="BAF14" s="104"/>
      <c r="BAG14" s="105"/>
      <c r="BAH14" s="103"/>
      <c r="BAI14" s="104"/>
      <c r="BAJ14" s="104"/>
      <c r="BAK14" s="104"/>
      <c r="BAL14" s="195" t="s">
        <v>33</v>
      </c>
      <c r="BAM14" s="195"/>
      <c r="BAN14" s="195"/>
      <c r="BAO14" s="195"/>
      <c r="BAP14" s="104"/>
      <c r="BAQ14" s="104"/>
      <c r="BAR14" s="196" t="s">
        <v>21</v>
      </c>
      <c r="BAS14" s="196"/>
      <c r="BAT14" s="196"/>
      <c r="BAU14" s="196"/>
      <c r="BAV14" s="129"/>
      <c r="BAW14" s="129"/>
      <c r="BAX14" s="195" t="s">
        <v>34</v>
      </c>
      <c r="BAY14" s="195"/>
      <c r="BAZ14" s="195"/>
      <c r="BBA14" s="195"/>
      <c r="BBB14" s="104"/>
      <c r="BBC14" s="104"/>
      <c r="BBD14" s="196" t="s">
        <v>22</v>
      </c>
      <c r="BBE14" s="196"/>
      <c r="BBF14" s="196"/>
      <c r="BBG14" s="196"/>
      <c r="BBH14" s="129"/>
      <c r="BBI14" s="129"/>
      <c r="BBJ14" s="195" t="s">
        <v>35</v>
      </c>
      <c r="BBK14" s="195"/>
      <c r="BBL14" s="195"/>
      <c r="BBM14" s="195"/>
      <c r="BBN14" s="104"/>
      <c r="BBO14" s="104"/>
      <c r="BBP14" s="196" t="s">
        <v>23</v>
      </c>
      <c r="BBQ14" s="196"/>
      <c r="BBR14" s="196"/>
      <c r="BBS14" s="196"/>
      <c r="BBT14" s="129"/>
      <c r="BBU14" s="129"/>
      <c r="BBV14" s="195" t="s">
        <v>36</v>
      </c>
      <c r="BBW14" s="195"/>
      <c r="BBX14" s="195"/>
      <c r="BBY14" s="195"/>
      <c r="BBZ14" s="104"/>
      <c r="BCA14" s="104"/>
      <c r="BCB14" s="196" t="s">
        <v>24</v>
      </c>
      <c r="BCC14" s="196"/>
      <c r="BCD14" s="196"/>
      <c r="BCE14" s="196"/>
      <c r="BCF14" s="129"/>
      <c r="BCG14" s="129"/>
      <c r="BCH14" s="195" t="s">
        <v>37</v>
      </c>
      <c r="BCI14" s="195"/>
      <c r="BCJ14" s="195"/>
      <c r="BCK14" s="195"/>
      <c r="BCL14" s="104"/>
      <c r="BCM14" s="104"/>
      <c r="BCN14" s="104"/>
      <c r="BCO14" s="105"/>
      <c r="BCP14" s="103"/>
      <c r="BCQ14" s="104"/>
      <c r="BCR14" s="104"/>
      <c r="BCS14" s="104"/>
      <c r="BCT14" s="195" t="s">
        <v>33</v>
      </c>
      <c r="BCU14" s="195"/>
      <c r="BCV14" s="195"/>
      <c r="BCW14" s="195"/>
      <c r="BCX14" s="104"/>
      <c r="BCY14" s="104"/>
      <c r="BCZ14" s="196" t="s">
        <v>21</v>
      </c>
      <c r="BDA14" s="196"/>
      <c r="BDB14" s="196"/>
      <c r="BDC14" s="196"/>
      <c r="BDD14" s="129"/>
      <c r="BDE14" s="129"/>
      <c r="BDF14" s="195" t="s">
        <v>34</v>
      </c>
      <c r="BDG14" s="195"/>
      <c r="BDH14" s="195"/>
      <c r="BDI14" s="195"/>
      <c r="BDJ14" s="104"/>
      <c r="BDK14" s="104"/>
      <c r="BDL14" s="196" t="s">
        <v>22</v>
      </c>
      <c r="BDM14" s="196"/>
      <c r="BDN14" s="196"/>
      <c r="BDO14" s="196"/>
      <c r="BDP14" s="129"/>
      <c r="BDQ14" s="129"/>
      <c r="BDR14" s="195" t="s">
        <v>35</v>
      </c>
      <c r="BDS14" s="195"/>
      <c r="BDT14" s="195"/>
      <c r="BDU14" s="195"/>
      <c r="BDV14" s="104"/>
      <c r="BDW14" s="104"/>
      <c r="BDX14" s="196" t="s">
        <v>23</v>
      </c>
      <c r="BDY14" s="196"/>
      <c r="BDZ14" s="196"/>
      <c r="BEA14" s="196"/>
      <c r="BEB14" s="129"/>
      <c r="BEC14" s="129"/>
      <c r="BED14" s="195" t="s">
        <v>36</v>
      </c>
      <c r="BEE14" s="195"/>
      <c r="BEF14" s="195"/>
      <c r="BEG14" s="195"/>
      <c r="BEH14" s="104"/>
      <c r="BEI14" s="104"/>
      <c r="BEJ14" s="196" t="s">
        <v>24</v>
      </c>
      <c r="BEK14" s="196"/>
      <c r="BEL14" s="196"/>
      <c r="BEM14" s="196"/>
      <c r="BEN14" s="129"/>
      <c r="BEO14" s="129"/>
      <c r="BEP14" s="195" t="s">
        <v>37</v>
      </c>
      <c r="BEQ14" s="195"/>
      <c r="BER14" s="195"/>
      <c r="BES14" s="195"/>
      <c r="BET14" s="104"/>
      <c r="BEU14" s="104"/>
      <c r="BEV14" s="104"/>
      <c r="BEW14" s="105"/>
      <c r="BEX14" s="103"/>
      <c r="BEY14" s="104"/>
      <c r="BEZ14" s="104"/>
      <c r="BFA14" s="104"/>
      <c r="BFB14" s="195" t="s">
        <v>33</v>
      </c>
      <c r="BFC14" s="195"/>
      <c r="BFD14" s="195"/>
      <c r="BFE14" s="195"/>
      <c r="BFF14" s="104"/>
      <c r="BFG14" s="104"/>
      <c r="BFH14" s="196" t="s">
        <v>21</v>
      </c>
      <c r="BFI14" s="196"/>
      <c r="BFJ14" s="196"/>
      <c r="BFK14" s="196"/>
      <c r="BFL14" s="129"/>
      <c r="BFM14" s="129"/>
      <c r="BFN14" s="195" t="s">
        <v>34</v>
      </c>
      <c r="BFO14" s="195"/>
      <c r="BFP14" s="195"/>
      <c r="BFQ14" s="195"/>
      <c r="BFR14" s="104"/>
      <c r="BFS14" s="104"/>
      <c r="BFT14" s="196" t="s">
        <v>22</v>
      </c>
      <c r="BFU14" s="196"/>
      <c r="BFV14" s="196"/>
      <c r="BFW14" s="196"/>
      <c r="BFX14" s="129"/>
      <c r="BFY14" s="129"/>
      <c r="BFZ14" s="195" t="s">
        <v>35</v>
      </c>
      <c r="BGA14" s="195"/>
      <c r="BGB14" s="195"/>
      <c r="BGC14" s="195"/>
      <c r="BGD14" s="104"/>
      <c r="BGE14" s="104"/>
      <c r="BGF14" s="196" t="s">
        <v>23</v>
      </c>
      <c r="BGG14" s="196"/>
      <c r="BGH14" s="196"/>
      <c r="BGI14" s="196"/>
      <c r="BGJ14" s="129"/>
      <c r="BGK14" s="129"/>
      <c r="BGL14" s="195" t="s">
        <v>36</v>
      </c>
      <c r="BGM14" s="195"/>
      <c r="BGN14" s="195"/>
      <c r="BGO14" s="195"/>
      <c r="BGP14" s="104"/>
      <c r="BGQ14" s="104"/>
      <c r="BGR14" s="196" t="s">
        <v>24</v>
      </c>
      <c r="BGS14" s="196"/>
      <c r="BGT14" s="196"/>
      <c r="BGU14" s="196"/>
      <c r="BGV14" s="129"/>
      <c r="BGW14" s="129"/>
      <c r="BGX14" s="195" t="s">
        <v>37</v>
      </c>
      <c r="BGY14" s="195"/>
      <c r="BGZ14" s="195"/>
      <c r="BHA14" s="195"/>
      <c r="BHB14" s="104"/>
      <c r="BHC14" s="104"/>
      <c r="BHD14" s="104"/>
      <c r="BHE14" s="105"/>
      <c r="BHF14" s="103"/>
      <c r="BHG14" s="104"/>
      <c r="BHH14" s="104"/>
      <c r="BHI14" s="104"/>
      <c r="BHJ14" s="195" t="s">
        <v>33</v>
      </c>
      <c r="BHK14" s="195"/>
      <c r="BHL14" s="195"/>
      <c r="BHM14" s="195"/>
      <c r="BHN14" s="104"/>
      <c r="BHO14" s="104"/>
      <c r="BHP14" s="196" t="s">
        <v>21</v>
      </c>
      <c r="BHQ14" s="196"/>
      <c r="BHR14" s="196"/>
      <c r="BHS14" s="196"/>
      <c r="BHT14" s="129"/>
      <c r="BHU14" s="129"/>
      <c r="BHV14" s="195" t="s">
        <v>34</v>
      </c>
      <c r="BHW14" s="195"/>
      <c r="BHX14" s="195"/>
      <c r="BHY14" s="195"/>
      <c r="BHZ14" s="104"/>
      <c r="BIA14" s="104"/>
      <c r="BIB14" s="196" t="s">
        <v>22</v>
      </c>
      <c r="BIC14" s="196"/>
      <c r="BID14" s="196"/>
      <c r="BIE14" s="196"/>
      <c r="BIF14" s="129"/>
      <c r="BIG14" s="129"/>
      <c r="BIH14" s="195" t="s">
        <v>35</v>
      </c>
      <c r="BII14" s="195"/>
      <c r="BIJ14" s="195"/>
      <c r="BIK14" s="195"/>
      <c r="BIL14" s="104"/>
      <c r="BIM14" s="104"/>
      <c r="BIN14" s="196" t="s">
        <v>23</v>
      </c>
      <c r="BIO14" s="196"/>
      <c r="BIP14" s="196"/>
      <c r="BIQ14" s="196"/>
      <c r="BIR14" s="129"/>
      <c r="BIS14" s="129"/>
      <c r="BIT14" s="195" t="s">
        <v>36</v>
      </c>
      <c r="BIU14" s="195"/>
      <c r="BIV14" s="195"/>
      <c r="BIW14" s="195"/>
      <c r="BIX14" s="104"/>
      <c r="BIY14" s="104"/>
      <c r="BIZ14" s="196" t="s">
        <v>24</v>
      </c>
      <c r="BJA14" s="196"/>
      <c r="BJB14" s="196"/>
      <c r="BJC14" s="196"/>
      <c r="BJD14" s="129"/>
      <c r="BJE14" s="129"/>
      <c r="BJF14" s="195" t="s">
        <v>37</v>
      </c>
      <c r="BJG14" s="195"/>
      <c r="BJH14" s="195"/>
      <c r="BJI14" s="195"/>
      <c r="BJJ14" s="104"/>
      <c r="BJK14" s="104"/>
      <c r="BJL14" s="104"/>
      <c r="BJM14" s="105"/>
      <c r="BJN14" s="103"/>
      <c r="BJO14" s="104"/>
      <c r="BJP14" s="104"/>
      <c r="BJQ14" s="104"/>
      <c r="BJR14" s="195" t="s">
        <v>33</v>
      </c>
      <c r="BJS14" s="195"/>
      <c r="BJT14" s="195"/>
      <c r="BJU14" s="195"/>
      <c r="BJV14" s="104"/>
      <c r="BJW14" s="104"/>
      <c r="BJX14" s="196" t="s">
        <v>21</v>
      </c>
      <c r="BJY14" s="196"/>
      <c r="BJZ14" s="196"/>
      <c r="BKA14" s="196"/>
      <c r="BKB14" s="129"/>
      <c r="BKC14" s="129"/>
      <c r="BKD14" s="195" t="s">
        <v>34</v>
      </c>
      <c r="BKE14" s="195"/>
      <c r="BKF14" s="195"/>
      <c r="BKG14" s="195"/>
      <c r="BKH14" s="104"/>
      <c r="BKI14" s="104"/>
      <c r="BKJ14" s="196" t="s">
        <v>22</v>
      </c>
      <c r="BKK14" s="196"/>
      <c r="BKL14" s="196"/>
      <c r="BKM14" s="196"/>
      <c r="BKN14" s="129"/>
      <c r="BKO14" s="129"/>
      <c r="BKP14" s="195" t="s">
        <v>35</v>
      </c>
      <c r="BKQ14" s="195"/>
      <c r="BKR14" s="195"/>
      <c r="BKS14" s="195"/>
      <c r="BKT14" s="104"/>
      <c r="BKU14" s="104"/>
      <c r="BKV14" s="196" t="s">
        <v>23</v>
      </c>
      <c r="BKW14" s="196"/>
      <c r="BKX14" s="196"/>
      <c r="BKY14" s="196"/>
      <c r="BKZ14" s="129"/>
      <c r="BLA14" s="129"/>
      <c r="BLB14" s="195" t="s">
        <v>36</v>
      </c>
      <c r="BLC14" s="195"/>
      <c r="BLD14" s="195"/>
      <c r="BLE14" s="195"/>
      <c r="BLF14" s="104"/>
      <c r="BLG14" s="104"/>
      <c r="BLH14" s="196" t="s">
        <v>24</v>
      </c>
      <c r="BLI14" s="196"/>
      <c r="BLJ14" s="196"/>
      <c r="BLK14" s="196"/>
      <c r="BLL14" s="129"/>
      <c r="BLM14" s="129"/>
      <c r="BLN14" s="195" t="s">
        <v>37</v>
      </c>
      <c r="BLO14" s="195"/>
      <c r="BLP14" s="195"/>
      <c r="BLQ14" s="195"/>
      <c r="BLR14" s="104"/>
      <c r="BLS14" s="104"/>
      <c r="BLT14" s="104"/>
      <c r="BLU14" s="105"/>
      <c r="BLV14" s="90"/>
    </row>
    <row r="15" spans="1:1686" ht="20.100000000000001" customHeight="1" x14ac:dyDescent="0.25">
      <c r="A15" s="100" t="s">
        <v>17</v>
      </c>
      <c r="B15" s="63" t="str">
        <f>IF(LEN(C15)=0,"",C15)</f>
        <v xml:space="preserve">Absences - imprévus </v>
      </c>
      <c r="C15" s="205" t="s">
        <v>1</v>
      </c>
      <c r="D15" s="149"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24"/>
      <c r="RS15" s="68"/>
      <c r="RT15" s="68"/>
      <c r="RU15" s="68"/>
      <c r="RV15" s="25"/>
      <c r="RW15" s="130"/>
      <c r="RX15" s="25"/>
      <c r="RY15" s="25"/>
      <c r="RZ15" s="25"/>
      <c r="SA15" s="25"/>
      <c r="SB15" s="25"/>
      <c r="SC15" s="135"/>
      <c r="SD15" s="25"/>
      <c r="SE15" s="25"/>
      <c r="SF15" s="25"/>
      <c r="SG15" s="25"/>
      <c r="SH15" s="25"/>
      <c r="SI15" s="72"/>
      <c r="SJ15" s="25"/>
      <c r="SK15" s="25"/>
      <c r="SL15" s="25"/>
      <c r="SM15" s="25"/>
      <c r="SN15" s="25"/>
      <c r="SO15" s="135"/>
      <c r="SP15" s="25"/>
      <c r="SQ15" s="25"/>
      <c r="SR15" s="25"/>
      <c r="SS15" s="25"/>
      <c r="ST15" s="25"/>
      <c r="SU15" s="72"/>
      <c r="SV15" s="68"/>
      <c r="SW15" s="68"/>
      <c r="SX15" s="68"/>
      <c r="SY15" s="68"/>
      <c r="SZ15" s="25"/>
      <c r="TA15" s="135"/>
      <c r="TB15" s="25"/>
      <c r="TC15" s="25"/>
      <c r="TD15" s="25"/>
      <c r="TE15" s="25"/>
      <c r="TF15" s="25"/>
      <c r="TG15" s="72"/>
      <c r="TH15" s="25"/>
      <c r="TI15" s="25"/>
      <c r="TJ15" s="25"/>
      <c r="TK15" s="25"/>
      <c r="TL15" s="25"/>
      <c r="TM15" s="135"/>
      <c r="TN15" s="25"/>
      <c r="TO15" s="25"/>
      <c r="TP15" s="25"/>
      <c r="TQ15" s="25"/>
      <c r="TR15" s="25"/>
      <c r="TS15" s="72"/>
      <c r="TT15" s="25"/>
      <c r="TU15" s="25"/>
      <c r="TV15" s="25"/>
      <c r="TW15" s="25"/>
      <c r="TX15" s="25"/>
      <c r="TY15" s="26"/>
      <c r="TZ15" s="24"/>
      <c r="UA15" s="68"/>
      <c r="UB15" s="68"/>
      <c r="UC15" s="68"/>
      <c r="UD15" s="25"/>
      <c r="UE15" s="130"/>
      <c r="UF15" s="25"/>
      <c r="UG15" s="25"/>
      <c r="UH15" s="25"/>
      <c r="UI15" s="25"/>
      <c r="UJ15" s="25"/>
      <c r="UK15" s="135"/>
      <c r="UL15" s="25"/>
      <c r="UM15" s="25"/>
      <c r="UN15" s="25"/>
      <c r="UO15" s="25"/>
      <c r="UP15" s="25"/>
      <c r="UQ15" s="72"/>
      <c r="UR15" s="25"/>
      <c r="US15" s="25"/>
      <c r="UT15" s="25"/>
      <c r="UU15" s="25"/>
      <c r="UV15" s="25"/>
      <c r="UW15" s="135"/>
      <c r="UX15" s="25"/>
      <c r="UY15" s="25"/>
      <c r="UZ15" s="25"/>
      <c r="VA15" s="25"/>
      <c r="VB15" s="25"/>
      <c r="VC15" s="72"/>
      <c r="VD15" s="68"/>
      <c r="VE15" s="68"/>
      <c r="VF15" s="68"/>
      <c r="VG15" s="68"/>
      <c r="VH15" s="25"/>
      <c r="VI15" s="135"/>
      <c r="VJ15" s="25"/>
      <c r="VK15" s="25"/>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24"/>
      <c r="AAY15" s="68"/>
      <c r="AAZ15" s="68"/>
      <c r="ABA15" s="68"/>
      <c r="ABB15" s="25"/>
      <c r="ABC15" s="130"/>
      <c r="ABD15" s="25"/>
      <c r="ABE15" s="25"/>
      <c r="ABF15" s="25"/>
      <c r="ABG15" s="25"/>
      <c r="ABH15" s="25"/>
      <c r="ABI15" s="135"/>
      <c r="ABJ15" s="25"/>
      <c r="ABK15" s="25"/>
      <c r="ABL15" s="25"/>
      <c r="ABM15" s="25"/>
      <c r="ABN15" s="25"/>
      <c r="ABO15" s="72"/>
      <c r="ABP15" s="25"/>
      <c r="ABQ15" s="25"/>
      <c r="ABR15" s="25"/>
      <c r="ABS15" s="25"/>
      <c r="ABT15" s="25"/>
      <c r="ABU15" s="135"/>
      <c r="ABV15" s="25"/>
      <c r="ABW15" s="25"/>
      <c r="ABX15" s="25"/>
      <c r="ABY15" s="25"/>
      <c r="ABZ15" s="25"/>
      <c r="ACA15" s="72"/>
      <c r="ACB15" s="68"/>
      <c r="ACC15" s="68"/>
      <c r="ACD15" s="68"/>
      <c r="ACE15" s="68"/>
      <c r="ACF15" s="25"/>
      <c r="ACG15" s="135"/>
      <c r="ACH15" s="25"/>
      <c r="ACI15" s="25"/>
      <c r="ACJ15" s="25"/>
      <c r="ACK15" s="25"/>
      <c r="ACL15" s="25"/>
      <c r="ACM15" s="72"/>
      <c r="ACN15" s="25"/>
      <c r="ACO15" s="25"/>
      <c r="ACP15" s="25"/>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24"/>
      <c r="BHG15" s="68"/>
      <c r="BHH15" s="68"/>
      <c r="BHI15" s="68"/>
      <c r="BHJ15" s="25"/>
      <c r="BHK15" s="130"/>
      <c r="BHL15" s="25"/>
      <c r="BHM15" s="25"/>
      <c r="BHN15" s="25"/>
      <c r="BHO15" s="25"/>
      <c r="BHP15" s="25"/>
      <c r="BHQ15" s="135"/>
      <c r="BHR15" s="25"/>
      <c r="BHS15" s="25"/>
      <c r="BHT15" s="25"/>
      <c r="BHU15" s="25"/>
      <c r="BHV15" s="25"/>
      <c r="BHW15" s="72"/>
      <c r="BHX15" s="25"/>
      <c r="BHY15" s="25"/>
      <c r="BHZ15" s="25"/>
      <c r="BIA15" s="25"/>
      <c r="BIB15" s="25"/>
      <c r="BIC15" s="135"/>
      <c r="BID15" s="25"/>
      <c r="BIE15" s="25"/>
      <c r="BIF15" s="25"/>
      <c r="BIG15" s="25"/>
      <c r="BIH15" s="25"/>
      <c r="BII15" s="72"/>
      <c r="BIJ15" s="68"/>
      <c r="BIK15" s="68"/>
      <c r="BIL15" s="68"/>
      <c r="BIM15" s="68"/>
      <c r="BIN15" s="25"/>
      <c r="BIO15" s="135"/>
      <c r="BIP15" s="25"/>
      <c r="BIQ15" s="25"/>
      <c r="BIR15" s="25"/>
      <c r="BIS15" s="25"/>
      <c r="BIT15" s="25"/>
      <c r="BIU15" s="72"/>
      <c r="BIV15" s="25"/>
      <c r="BIW15" s="25"/>
      <c r="BIX15" s="25"/>
      <c r="BIY15" s="25"/>
      <c r="BIZ15" s="25"/>
      <c r="BJA15" s="135"/>
      <c r="BJB15" s="25"/>
      <c r="BJC15" s="25"/>
      <c r="BJD15" s="25"/>
      <c r="BJE15" s="25"/>
      <c r="BJF15" s="25"/>
      <c r="BJG15" s="72"/>
      <c r="BJH15" s="25"/>
      <c r="BJI15" s="25"/>
      <c r="BJJ15" s="25"/>
      <c r="BJK15" s="25"/>
      <c r="BJL15" s="25"/>
      <c r="BJM15" s="26"/>
      <c r="BJN15" s="24"/>
      <c r="BJO15" s="68"/>
      <c r="BJP15" s="68"/>
      <c r="BJQ15" s="68"/>
      <c r="BJR15" s="25"/>
      <c r="BJS15" s="130"/>
      <c r="BJT15" s="25"/>
      <c r="BJU15" s="25"/>
      <c r="BJV15" s="25"/>
      <c r="BJW15" s="25"/>
      <c r="BJX15" s="25"/>
      <c r="BJY15" s="135"/>
      <c r="BJZ15" s="25"/>
      <c r="BKA15" s="25"/>
      <c r="BKB15" s="25"/>
      <c r="BKC15" s="25"/>
      <c r="BKD15" s="25"/>
      <c r="BKE15" s="72"/>
      <c r="BKF15" s="25"/>
      <c r="BKG15" s="25"/>
      <c r="BKH15" s="25"/>
      <c r="BKI15" s="25"/>
      <c r="BKJ15" s="25"/>
      <c r="BKK15" s="135"/>
      <c r="BKL15" s="25"/>
      <c r="BKM15" s="25"/>
      <c r="BKN15" s="25"/>
      <c r="BKO15" s="25"/>
      <c r="BKP15" s="25"/>
      <c r="BKQ15" s="72"/>
      <c r="BKR15" s="68"/>
      <c r="BKS15" s="68"/>
      <c r="BKT15" s="68"/>
      <c r="BKU15" s="68"/>
      <c r="BKV15" s="25"/>
      <c r="BKW15" s="135"/>
      <c r="BKX15" s="25"/>
      <c r="BKY15" s="25"/>
      <c r="BKZ15" s="25"/>
      <c r="BLA15" s="25"/>
      <c r="BLB15" s="25"/>
      <c r="BLC15" s="72"/>
      <c r="BLD15" s="25"/>
      <c r="BLE15" s="25"/>
      <c r="BLF15" s="25"/>
      <c r="BLG15" s="25"/>
      <c r="BLH15" s="25"/>
      <c r="BLI15" s="135"/>
      <c r="BLJ15" s="25"/>
      <c r="BLK15" s="25"/>
      <c r="BLL15" s="25"/>
      <c r="BLM15" s="25"/>
      <c r="BLN15" s="25"/>
      <c r="BLO15" s="72"/>
      <c r="BLP15" s="25"/>
      <c r="BLQ15" s="25"/>
      <c r="BLR15" s="25"/>
      <c r="BLS15" s="25"/>
      <c r="BLT15" s="25"/>
      <c r="BLU15" s="26"/>
      <c r="BLV15" s="90"/>
    </row>
    <row r="16" spans="1:1686" ht="20.100000000000001" customHeight="1" x14ac:dyDescent="0.25">
      <c r="A16" s="100" t="s">
        <v>18</v>
      </c>
      <c r="B16" s="63" t="str">
        <f>IF(LEN(C17)=0,"",C17)</f>
        <v>Analyse - Planification initiale</v>
      </c>
      <c r="C16" s="206"/>
      <c r="D16" s="147" t="str">
        <f t="shared" ref="D16:D79" si="0">setValueToTime(E16)</f>
        <v>0h</v>
      </c>
      <c r="E16" s="35">
        <v>0</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8"/>
      <c r="KU16" s="67"/>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28"/>
      <c r="RS16" s="67"/>
      <c r="RT16" s="67"/>
      <c r="RU16" s="67"/>
      <c r="RV16" s="29"/>
      <c r="RW16" s="131"/>
      <c r="RX16" s="29"/>
      <c r="RY16" s="29"/>
      <c r="RZ16" s="29"/>
      <c r="SA16" s="29"/>
      <c r="SB16" s="29"/>
      <c r="SC16" s="136"/>
      <c r="SD16" s="29"/>
      <c r="SE16" s="29"/>
      <c r="SF16" s="29"/>
      <c r="SG16" s="29"/>
      <c r="SH16" s="29"/>
      <c r="SI16" s="73"/>
      <c r="SJ16" s="29"/>
      <c r="SK16" s="29"/>
      <c r="SL16" s="29"/>
      <c r="SM16" s="29"/>
      <c r="SN16" s="29"/>
      <c r="SO16" s="136"/>
      <c r="SP16" s="29"/>
      <c r="SQ16" s="29"/>
      <c r="SR16" s="29"/>
      <c r="SS16" s="29"/>
      <c r="ST16" s="29"/>
      <c r="SU16" s="73"/>
      <c r="SV16" s="67"/>
      <c r="SW16" s="67"/>
      <c r="SX16" s="67"/>
      <c r="SY16" s="67"/>
      <c r="SZ16" s="29"/>
      <c r="TA16" s="136"/>
      <c r="TB16" s="29"/>
      <c r="TC16" s="29"/>
      <c r="TD16" s="29"/>
      <c r="TE16" s="29"/>
      <c r="TF16" s="29"/>
      <c r="TG16" s="73"/>
      <c r="TH16" s="29"/>
      <c r="TI16" s="29"/>
      <c r="TJ16" s="29"/>
      <c r="TK16" s="29"/>
      <c r="TL16" s="29"/>
      <c r="TM16" s="136"/>
      <c r="TN16" s="29"/>
      <c r="TO16" s="29"/>
      <c r="TP16" s="29"/>
      <c r="TQ16" s="29"/>
      <c r="TR16" s="29"/>
      <c r="TS16" s="73"/>
      <c r="TT16" s="29"/>
      <c r="TU16" s="29"/>
      <c r="TV16" s="29"/>
      <c r="TW16" s="29"/>
      <c r="TX16" s="29"/>
      <c r="TY16" s="30"/>
      <c r="TZ16" s="28"/>
      <c r="UA16" s="67"/>
      <c r="UB16" s="67"/>
      <c r="UC16" s="67"/>
      <c r="UD16" s="29"/>
      <c r="UE16" s="131"/>
      <c r="UF16" s="29"/>
      <c r="UG16" s="29"/>
      <c r="UH16" s="29"/>
      <c r="UI16" s="29"/>
      <c r="UJ16" s="29"/>
      <c r="UK16" s="136"/>
      <c r="UL16" s="29"/>
      <c r="UM16" s="29"/>
      <c r="UN16" s="29"/>
      <c r="UO16" s="29"/>
      <c r="UP16" s="29"/>
      <c r="UQ16" s="73"/>
      <c r="UR16" s="29"/>
      <c r="US16" s="29"/>
      <c r="UT16" s="29"/>
      <c r="UU16" s="29"/>
      <c r="UV16" s="29"/>
      <c r="UW16" s="136"/>
      <c r="UX16" s="29"/>
      <c r="UY16" s="29"/>
      <c r="UZ16" s="29"/>
      <c r="VA16" s="29"/>
      <c r="VB16" s="29"/>
      <c r="VC16" s="73"/>
      <c r="VD16" s="67"/>
      <c r="VE16" s="67"/>
      <c r="VF16" s="67"/>
      <c r="VG16" s="67"/>
      <c r="VH16" s="29"/>
      <c r="VI16" s="136"/>
      <c r="VJ16" s="29"/>
      <c r="VK16" s="29"/>
      <c r="VL16" s="29"/>
      <c r="VM16" s="29"/>
      <c r="VN16" s="29"/>
      <c r="VO16" s="73"/>
      <c r="VP16" s="29"/>
      <c r="VQ16" s="29"/>
      <c r="VR16" s="29"/>
      <c r="VS16" s="29"/>
      <c r="VT16" s="29"/>
      <c r="VU16" s="136"/>
      <c r="VV16" s="29"/>
      <c r="VW16" s="29"/>
      <c r="VX16" s="29"/>
      <c r="VY16" s="29"/>
      <c r="VZ16" s="29"/>
      <c r="WA16" s="73"/>
      <c r="WB16" s="29"/>
      <c r="WC16" s="29"/>
      <c r="WD16" s="29"/>
      <c r="WE16" s="29"/>
      <c r="WF16" s="29"/>
      <c r="WG16" s="30"/>
      <c r="WH16" s="28"/>
      <c r="WI16" s="67"/>
      <c r="WJ16" s="67"/>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28"/>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28"/>
      <c r="BHG16" s="67"/>
      <c r="BHH16" s="67"/>
      <c r="BHI16" s="67"/>
      <c r="BHJ16" s="29"/>
      <c r="BHK16" s="131"/>
      <c r="BHL16" s="29"/>
      <c r="BHM16" s="29"/>
      <c r="BHN16" s="29"/>
      <c r="BHO16" s="29"/>
      <c r="BHP16" s="29"/>
      <c r="BHQ16" s="136"/>
      <c r="BHR16" s="29"/>
      <c r="BHS16" s="29"/>
      <c r="BHT16" s="29"/>
      <c r="BHU16" s="29"/>
      <c r="BHV16" s="29"/>
      <c r="BHW16" s="73"/>
      <c r="BHX16" s="29"/>
      <c r="BHY16" s="29"/>
      <c r="BHZ16" s="29"/>
      <c r="BIA16" s="29"/>
      <c r="BIB16" s="29"/>
      <c r="BIC16" s="136"/>
      <c r="BID16" s="29"/>
      <c r="BIE16" s="29"/>
      <c r="BIF16" s="29"/>
      <c r="BIG16" s="29"/>
      <c r="BIH16" s="29"/>
      <c r="BII16" s="73"/>
      <c r="BIJ16" s="67"/>
      <c r="BIK16" s="67"/>
      <c r="BIL16" s="67"/>
      <c r="BIM16" s="67"/>
      <c r="BIN16" s="29"/>
      <c r="BIO16" s="136"/>
      <c r="BIP16" s="29"/>
      <c r="BIQ16" s="29"/>
      <c r="BIR16" s="29"/>
      <c r="BIS16" s="29"/>
      <c r="BIT16" s="29"/>
      <c r="BIU16" s="73"/>
      <c r="BIV16" s="29"/>
      <c r="BIW16" s="29"/>
      <c r="BIX16" s="29"/>
      <c r="BIY16" s="29"/>
      <c r="BIZ16" s="29"/>
      <c r="BJA16" s="136"/>
      <c r="BJB16" s="29"/>
      <c r="BJC16" s="29"/>
      <c r="BJD16" s="29"/>
      <c r="BJE16" s="29"/>
      <c r="BJF16" s="29"/>
      <c r="BJG16" s="73"/>
      <c r="BJH16" s="29"/>
      <c r="BJI16" s="29"/>
      <c r="BJJ16" s="29"/>
      <c r="BJK16" s="29"/>
      <c r="BJL16" s="29"/>
      <c r="BJM16" s="30"/>
      <c r="BJN16" s="28"/>
      <c r="BJO16" s="67"/>
      <c r="BJP16" s="67"/>
      <c r="BJQ16" s="67"/>
      <c r="BJR16" s="29"/>
      <c r="BJS16" s="131"/>
      <c r="BJT16" s="29"/>
      <c r="BJU16" s="29"/>
      <c r="BJV16" s="29"/>
      <c r="BJW16" s="29"/>
      <c r="BJX16" s="29"/>
      <c r="BJY16" s="136"/>
      <c r="BJZ16" s="29"/>
      <c r="BKA16" s="29"/>
      <c r="BKB16" s="29"/>
      <c r="BKC16" s="29"/>
      <c r="BKD16" s="29"/>
      <c r="BKE16" s="73"/>
      <c r="BKF16" s="29"/>
      <c r="BKG16" s="29"/>
      <c r="BKH16" s="29"/>
      <c r="BKI16" s="29"/>
      <c r="BKJ16" s="29"/>
      <c r="BKK16" s="136"/>
      <c r="BKL16" s="29"/>
      <c r="BKM16" s="29"/>
      <c r="BKN16" s="29"/>
      <c r="BKO16" s="29"/>
      <c r="BKP16" s="29"/>
      <c r="BKQ16" s="73"/>
      <c r="BKR16" s="67"/>
      <c r="BKS16" s="67"/>
      <c r="BKT16" s="67"/>
      <c r="BKU16" s="67"/>
      <c r="BKV16" s="29"/>
      <c r="BKW16" s="136"/>
      <c r="BKX16" s="29"/>
      <c r="BKY16" s="29"/>
      <c r="BKZ16" s="29"/>
      <c r="BLA16" s="29"/>
      <c r="BLB16" s="29"/>
      <c r="BLC16" s="73"/>
      <c r="BLD16" s="29"/>
      <c r="BLE16" s="29"/>
      <c r="BLF16" s="29"/>
      <c r="BLG16" s="29"/>
      <c r="BLH16" s="29"/>
      <c r="BLI16" s="136"/>
      <c r="BLJ16" s="29"/>
      <c r="BLK16" s="29"/>
      <c r="BLL16" s="29"/>
      <c r="BLM16" s="29"/>
      <c r="BLN16" s="29"/>
      <c r="BLO16" s="73"/>
      <c r="BLP16" s="29"/>
      <c r="BLQ16" s="29"/>
      <c r="BLR16" s="29"/>
      <c r="BLS16" s="29"/>
      <c r="BLT16" s="29"/>
      <c r="BLU16" s="30"/>
      <c r="BLV16" s="90"/>
    </row>
    <row r="17" spans="1:1686" ht="20.100000000000001" customHeight="1" x14ac:dyDescent="0.25">
      <c r="A17" s="100" t="s">
        <v>17</v>
      </c>
      <c r="B17" s="63" t="str">
        <f>IF(LEN(C19)=0,"",C19)</f>
        <v>Réalisation - Interfaces</v>
      </c>
      <c r="C17" s="205" t="s">
        <v>29</v>
      </c>
      <c r="D17" s="146" t="str">
        <f t="shared" si="0"/>
        <v>7h5min</v>
      </c>
      <c r="E17" s="31">
        <v>85</v>
      </c>
      <c r="F17" s="165"/>
      <c r="G17" s="166"/>
      <c r="H17" s="166"/>
      <c r="I17" s="166"/>
      <c r="J17" s="167"/>
      <c r="K17" s="168"/>
      <c r="L17" s="167"/>
      <c r="M17" s="167"/>
      <c r="N17" s="167"/>
      <c r="O17" s="167"/>
      <c r="P17" s="167"/>
      <c r="Q17" s="181"/>
      <c r="R17" s="167"/>
      <c r="S17" s="167"/>
      <c r="T17" s="167"/>
      <c r="U17" s="167"/>
      <c r="V17" s="167"/>
      <c r="W17" s="182"/>
      <c r="X17" s="167"/>
      <c r="Y17" s="167"/>
      <c r="Z17" s="167"/>
      <c r="AA17" s="167"/>
      <c r="AB17" s="167"/>
      <c r="AC17" s="181"/>
      <c r="AD17" s="167"/>
      <c r="AE17" s="167"/>
      <c r="AF17" s="167"/>
      <c r="AG17" s="167"/>
      <c r="AH17" s="167"/>
      <c r="AI17" s="182"/>
      <c r="AJ17" s="166"/>
      <c r="AK17" s="166"/>
      <c r="AL17" s="166"/>
      <c r="AM17" s="166"/>
      <c r="AN17" s="167"/>
      <c r="AO17" s="181"/>
      <c r="AP17" s="167"/>
      <c r="AQ17" s="167"/>
      <c r="AR17" s="33"/>
      <c r="AS17" s="33"/>
      <c r="AT17" s="33"/>
      <c r="AU17" s="74"/>
      <c r="AV17" s="33"/>
      <c r="AW17" s="33"/>
      <c r="AX17" s="33"/>
      <c r="AY17" s="33"/>
      <c r="AZ17" s="33"/>
      <c r="BA17" s="137"/>
      <c r="BB17" s="33"/>
      <c r="BC17" s="33"/>
      <c r="BD17" s="33"/>
      <c r="BE17" s="33"/>
      <c r="BF17" s="33"/>
      <c r="BG17" s="74"/>
      <c r="BH17" s="33"/>
      <c r="BI17" s="33"/>
      <c r="BJ17" s="33"/>
      <c r="BK17" s="33"/>
      <c r="BL17" s="33"/>
      <c r="BM17" s="34"/>
      <c r="BN17" s="165"/>
      <c r="BO17" s="166"/>
      <c r="BP17" s="166"/>
      <c r="BQ17" s="166"/>
      <c r="BR17" s="167"/>
      <c r="BS17" s="168"/>
      <c r="BT17" s="167"/>
      <c r="BU17" s="167"/>
      <c r="BV17" s="167"/>
      <c r="BW17" s="167"/>
      <c r="BX17" s="167"/>
      <c r="BY17" s="181"/>
      <c r="BZ17" s="167"/>
      <c r="CA17" s="167"/>
      <c r="CB17" s="167"/>
      <c r="CC17" s="167"/>
      <c r="CD17" s="167"/>
      <c r="CE17" s="182"/>
      <c r="CF17" s="167"/>
      <c r="CG17" s="167"/>
      <c r="CH17" s="167"/>
      <c r="CI17" s="167"/>
      <c r="CJ17" s="167"/>
      <c r="CK17" s="181"/>
      <c r="CL17" s="167"/>
      <c r="CM17" s="167"/>
      <c r="CN17" s="167"/>
      <c r="CO17" s="167"/>
      <c r="CP17" s="167"/>
      <c r="CQ17" s="182"/>
      <c r="CR17" s="166"/>
      <c r="CS17" s="166"/>
      <c r="CT17" s="166"/>
      <c r="CU17" s="166"/>
      <c r="CV17" s="167"/>
      <c r="CW17" s="181"/>
      <c r="CX17" s="167"/>
      <c r="CY17" s="167"/>
      <c r="CZ17" s="167"/>
      <c r="DA17" s="167"/>
      <c r="DB17" s="167"/>
      <c r="DC17" s="182"/>
      <c r="DD17" s="167"/>
      <c r="DE17" s="167"/>
      <c r="DF17" s="167"/>
      <c r="DG17" s="167"/>
      <c r="DH17" s="167"/>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33"/>
      <c r="XG17" s="3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33"/>
      <c r="ACI17" s="3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33"/>
      <c r="ANE17" s="3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64"/>
      <c r="ATM17" s="64"/>
      <c r="ATN17" s="33"/>
      <c r="ATO17" s="132"/>
      <c r="ATP17" s="33"/>
      <c r="ATQ17" s="33"/>
      <c r="ATR17" s="33"/>
      <c r="ATS17" s="33"/>
      <c r="ATT17" s="33"/>
      <c r="ATU17" s="137"/>
      <c r="ATV17" s="33"/>
      <c r="ATW17" s="33"/>
      <c r="ATX17" s="33"/>
      <c r="ATY17" s="3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32"/>
      <c r="BHG17" s="64"/>
      <c r="BHH17" s="64"/>
      <c r="BHI17" s="64"/>
      <c r="BHJ17" s="33"/>
      <c r="BHK17" s="132"/>
      <c r="BHL17" s="33"/>
      <c r="BHM17" s="33"/>
      <c r="BHN17" s="33"/>
      <c r="BHO17" s="33"/>
      <c r="BHP17" s="33"/>
      <c r="BHQ17" s="137"/>
      <c r="BHR17" s="33"/>
      <c r="BHS17" s="33"/>
      <c r="BHT17" s="33"/>
      <c r="BHU17" s="33"/>
      <c r="BHV17" s="33"/>
      <c r="BHW17" s="74"/>
      <c r="BHX17" s="33"/>
      <c r="BHY17" s="33"/>
      <c r="BHZ17" s="33"/>
      <c r="BIA17" s="33"/>
      <c r="BIB17" s="33"/>
      <c r="BIC17" s="137"/>
      <c r="BID17" s="33"/>
      <c r="BIE17" s="33"/>
      <c r="BIF17" s="33"/>
      <c r="BIG17" s="33"/>
      <c r="BIH17" s="33"/>
      <c r="BII17" s="74"/>
      <c r="BIJ17" s="64"/>
      <c r="BIK17" s="64"/>
      <c r="BIL17" s="64"/>
      <c r="BIM17" s="64"/>
      <c r="BIN17" s="33"/>
      <c r="BIO17" s="137"/>
      <c r="BIP17" s="33"/>
      <c r="BIQ17" s="33"/>
      <c r="BIR17" s="33"/>
      <c r="BIS17" s="33"/>
      <c r="BIT17" s="33"/>
      <c r="BIU17" s="74"/>
      <c r="BIV17" s="33"/>
      <c r="BIW17" s="33"/>
      <c r="BIX17" s="33"/>
      <c r="BIY17" s="33"/>
      <c r="BIZ17" s="33"/>
      <c r="BJA17" s="137"/>
      <c r="BJB17" s="33"/>
      <c r="BJC17" s="33"/>
      <c r="BJD17" s="33"/>
      <c r="BJE17" s="33"/>
      <c r="BJF17" s="33"/>
      <c r="BJG17" s="74"/>
      <c r="BJH17" s="33"/>
      <c r="BJI17" s="33"/>
      <c r="BJJ17" s="33"/>
      <c r="BJK17" s="33"/>
      <c r="BJL17" s="33"/>
      <c r="BJM17" s="34"/>
      <c r="BJN17" s="32"/>
      <c r="BJO17" s="64"/>
      <c r="BJP17" s="64"/>
      <c r="BJQ17" s="64"/>
      <c r="BJR17" s="33"/>
      <c r="BJS17" s="132"/>
      <c r="BJT17" s="33"/>
      <c r="BJU17" s="33"/>
      <c r="BJV17" s="33"/>
      <c r="BJW17" s="33"/>
      <c r="BJX17" s="33"/>
      <c r="BJY17" s="137"/>
      <c r="BJZ17" s="33"/>
      <c r="BKA17" s="33"/>
      <c r="BKB17" s="33"/>
      <c r="BKC17" s="33"/>
      <c r="BKD17" s="33"/>
      <c r="BKE17" s="74"/>
      <c r="BKF17" s="33"/>
      <c r="BKG17" s="33"/>
      <c r="BKH17" s="33"/>
      <c r="BKI17" s="33"/>
      <c r="BKJ17" s="33"/>
      <c r="BKK17" s="137"/>
      <c r="BKL17" s="33"/>
      <c r="BKM17" s="33"/>
      <c r="BKN17" s="33"/>
      <c r="BKO17" s="33"/>
      <c r="BKP17" s="33"/>
      <c r="BKQ17" s="74"/>
      <c r="BKR17" s="64"/>
      <c r="BKS17" s="64"/>
      <c r="BKT17" s="64"/>
      <c r="BKU17" s="64"/>
      <c r="BKV17" s="33"/>
      <c r="BKW17" s="137"/>
      <c r="BKX17" s="33"/>
      <c r="BKY17" s="33"/>
      <c r="BKZ17" s="33"/>
      <c r="BLA17" s="33"/>
      <c r="BLB17" s="33"/>
      <c r="BLC17" s="74"/>
      <c r="BLD17" s="33"/>
      <c r="BLE17" s="33"/>
      <c r="BLF17" s="33"/>
      <c r="BLG17" s="33"/>
      <c r="BLH17" s="33"/>
      <c r="BLI17" s="137"/>
      <c r="BLJ17" s="33"/>
      <c r="BLK17" s="33"/>
      <c r="BLL17" s="33"/>
      <c r="BLM17" s="33"/>
      <c r="BLN17" s="33"/>
      <c r="BLO17" s="74"/>
      <c r="BLP17" s="33"/>
      <c r="BLQ17" s="33"/>
      <c r="BLR17" s="33"/>
      <c r="BLS17" s="33"/>
      <c r="BLT17" s="33"/>
      <c r="BLU17" s="34"/>
      <c r="BLV17" s="90"/>
    </row>
    <row r="18" spans="1:1686" ht="20.100000000000001" customHeight="1" x14ac:dyDescent="0.3">
      <c r="A18" s="100" t="s">
        <v>18</v>
      </c>
      <c r="B18" s="63" t="str">
        <f>IF(LEN(C21)=0,"",C21)</f>
        <v>Doc - Journal de travail</v>
      </c>
      <c r="C18" s="206"/>
      <c r="D18" s="148" t="str">
        <f t="shared" si="0"/>
        <v>7h5min</v>
      </c>
      <c r="E18" s="35">
        <v>85</v>
      </c>
      <c r="F18" s="169"/>
      <c r="G18" s="170"/>
      <c r="H18" s="170"/>
      <c r="I18" s="170"/>
      <c r="J18" s="171"/>
      <c r="K18" s="172"/>
      <c r="L18" s="171"/>
      <c r="M18" s="171"/>
      <c r="N18" s="171"/>
      <c r="O18" s="171"/>
      <c r="P18" s="171"/>
      <c r="Q18" s="183"/>
      <c r="R18" s="171"/>
      <c r="S18" s="171"/>
      <c r="T18" s="171"/>
      <c r="U18" s="171"/>
      <c r="V18" s="171"/>
      <c r="W18" s="184"/>
      <c r="X18" s="171"/>
      <c r="Y18" s="171"/>
      <c r="Z18" s="171"/>
      <c r="AA18" s="171"/>
      <c r="AB18" s="171"/>
      <c r="AC18" s="183"/>
      <c r="AD18" s="171"/>
      <c r="AE18" s="171"/>
      <c r="AF18" s="171"/>
      <c r="AG18" s="171"/>
      <c r="AH18" s="171"/>
      <c r="AI18" s="184"/>
      <c r="AJ18" s="170"/>
      <c r="AK18" s="170"/>
      <c r="AL18" s="170"/>
      <c r="AM18" s="170"/>
      <c r="AN18" s="171"/>
      <c r="AO18" s="183"/>
      <c r="AP18" s="171"/>
      <c r="AQ18" s="171"/>
      <c r="AR18" s="37"/>
      <c r="AS18" s="37"/>
      <c r="AT18" s="37"/>
      <c r="AU18" s="75"/>
      <c r="AV18" s="37"/>
      <c r="AW18" s="37"/>
      <c r="AX18" s="37"/>
      <c r="AY18" s="37"/>
      <c r="AZ18" s="37"/>
      <c r="BA18" s="138"/>
      <c r="BB18" s="37"/>
      <c r="BC18" s="37"/>
      <c r="BD18" s="37"/>
      <c r="BE18" s="37"/>
      <c r="BF18" s="37"/>
      <c r="BG18" s="75"/>
      <c r="BH18" s="37"/>
      <c r="BI18" s="37"/>
      <c r="BJ18" s="37"/>
      <c r="BK18" s="37"/>
      <c r="BL18" s="37"/>
      <c r="BM18" s="38"/>
      <c r="BN18" s="169"/>
      <c r="BO18" s="170"/>
      <c r="BP18" s="170"/>
      <c r="BQ18" s="170"/>
      <c r="BR18" s="171"/>
      <c r="BS18" s="172"/>
      <c r="BT18" s="171"/>
      <c r="BU18" s="171"/>
      <c r="BV18" s="171"/>
      <c r="BW18" s="171"/>
      <c r="BX18" s="171"/>
      <c r="BY18" s="183"/>
      <c r="BZ18" s="171"/>
      <c r="CA18" s="171"/>
      <c r="CB18" s="171"/>
      <c r="CC18" s="171"/>
      <c r="CD18" s="171"/>
      <c r="CE18" s="184"/>
      <c r="CF18" s="171"/>
      <c r="CG18" s="171"/>
      <c r="CH18" s="171"/>
      <c r="CI18" s="171"/>
      <c r="CJ18" s="171"/>
      <c r="CK18" s="183"/>
      <c r="CL18" s="171"/>
      <c r="CM18" s="171"/>
      <c r="CN18" s="171"/>
      <c r="CO18" s="171"/>
      <c r="CP18" s="171"/>
      <c r="CQ18" s="184"/>
      <c r="CR18" s="170"/>
      <c r="CS18" s="170"/>
      <c r="CT18" s="170"/>
      <c r="CU18" s="170"/>
      <c r="CV18" s="171"/>
      <c r="CW18" s="183"/>
      <c r="CX18" s="171"/>
      <c r="CY18" s="171"/>
      <c r="CZ18" s="171"/>
      <c r="DA18" s="171"/>
      <c r="DB18" s="171"/>
      <c r="DC18" s="184"/>
      <c r="DD18" s="171"/>
      <c r="DE18" s="171"/>
      <c r="DF18" s="171"/>
      <c r="DG18" s="171"/>
      <c r="DH18" s="171"/>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38"/>
      <c r="MD18" s="37"/>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65"/>
      <c r="ABA18" s="65"/>
      <c r="ABB18" s="37"/>
      <c r="ABC18" s="133"/>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65"/>
      <c r="AMO18" s="65"/>
      <c r="AMP18" s="37"/>
      <c r="AMQ18" s="133"/>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37"/>
      <c r="ANU18" s="138"/>
      <c r="ANV18" s="37"/>
      <c r="ANW18" s="37"/>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37"/>
      <c r="ASM18" s="37"/>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36"/>
      <c r="BHG18" s="65"/>
      <c r="BHH18" s="65"/>
      <c r="BHI18" s="65"/>
      <c r="BHJ18" s="37"/>
      <c r="BHK18" s="133"/>
      <c r="BHL18" s="37"/>
      <c r="BHM18" s="37"/>
      <c r="BHN18" s="37"/>
      <c r="BHO18" s="37"/>
      <c r="BHP18" s="37"/>
      <c r="BHQ18" s="138"/>
      <c r="BHR18" s="37"/>
      <c r="BHS18" s="37"/>
      <c r="BHT18" s="37"/>
      <c r="BHU18" s="37"/>
      <c r="BHV18" s="37"/>
      <c r="BHW18" s="75"/>
      <c r="BHX18" s="37"/>
      <c r="BHY18" s="37"/>
      <c r="BHZ18" s="37"/>
      <c r="BIA18" s="37"/>
      <c r="BIB18" s="37"/>
      <c r="BIC18" s="138"/>
      <c r="BID18" s="37"/>
      <c r="BIE18" s="37"/>
      <c r="BIF18" s="37"/>
      <c r="BIG18" s="37"/>
      <c r="BIH18" s="37"/>
      <c r="BII18" s="75"/>
      <c r="BIJ18" s="65"/>
      <c r="BIK18" s="65"/>
      <c r="BIL18" s="65"/>
      <c r="BIM18" s="65"/>
      <c r="BIN18" s="37"/>
      <c r="BIO18" s="138"/>
      <c r="BIP18" s="37"/>
      <c r="BIQ18" s="37"/>
      <c r="BIR18" s="37"/>
      <c r="BIS18" s="37"/>
      <c r="BIT18" s="37"/>
      <c r="BIU18" s="75"/>
      <c r="BIV18" s="37"/>
      <c r="BIW18" s="37"/>
      <c r="BIX18" s="37"/>
      <c r="BIY18" s="37"/>
      <c r="BIZ18" s="37"/>
      <c r="BJA18" s="138"/>
      <c r="BJB18" s="37"/>
      <c r="BJC18" s="37"/>
      <c r="BJD18" s="37"/>
      <c r="BJE18" s="37"/>
      <c r="BJF18" s="37"/>
      <c r="BJG18" s="75"/>
      <c r="BJH18" s="37"/>
      <c r="BJI18" s="37"/>
      <c r="BJJ18" s="37"/>
      <c r="BJK18" s="37"/>
      <c r="BJL18" s="37"/>
      <c r="BJM18" s="38"/>
      <c r="BJN18" s="36"/>
      <c r="BJO18" s="65"/>
      <c r="BJP18" s="65"/>
      <c r="BJQ18" s="65"/>
      <c r="BJR18" s="37"/>
      <c r="BJS18" s="133"/>
      <c r="BJT18" s="37"/>
      <c r="BJU18" s="37"/>
      <c r="BJV18" s="37"/>
      <c r="BJW18" s="37"/>
      <c r="BJX18" s="37"/>
      <c r="BJY18" s="138"/>
      <c r="BJZ18" s="37"/>
      <c r="BKA18" s="37"/>
      <c r="BKB18" s="37"/>
      <c r="BKC18" s="37"/>
      <c r="BKD18" s="37"/>
      <c r="BKE18" s="75"/>
      <c r="BKF18" s="37"/>
      <c r="BKG18" s="37"/>
      <c r="BKH18" s="37"/>
      <c r="BKI18" s="37"/>
      <c r="BKJ18" s="37"/>
      <c r="BKK18" s="138"/>
      <c r="BKL18" s="37"/>
      <c r="BKM18" s="37"/>
      <c r="BKN18" s="37"/>
      <c r="BKO18" s="37"/>
      <c r="BKP18" s="37"/>
      <c r="BKQ18" s="75"/>
      <c r="BKR18" s="65"/>
      <c r="BKS18" s="65"/>
      <c r="BKT18" s="65"/>
      <c r="BKU18" s="65"/>
      <c r="BKV18" s="37"/>
      <c r="BKW18" s="138"/>
      <c r="BKX18" s="37"/>
      <c r="BKY18" s="37"/>
      <c r="BKZ18" s="37"/>
      <c r="BLA18" s="37"/>
      <c r="BLB18" s="37"/>
      <c r="BLC18" s="75"/>
      <c r="BLD18" s="37"/>
      <c r="BLE18" s="37"/>
      <c r="BLF18" s="37"/>
      <c r="BLG18" s="37"/>
      <c r="BLH18" s="37"/>
      <c r="BLI18" s="138"/>
      <c r="BLJ18" s="37"/>
      <c r="BLK18" s="37"/>
      <c r="BLL18" s="37"/>
      <c r="BLM18" s="37"/>
      <c r="BLN18" s="37"/>
      <c r="BLO18" s="75"/>
      <c r="BLP18" s="37"/>
      <c r="BLQ18" s="37"/>
      <c r="BLR18" s="37"/>
      <c r="BLS18" s="37"/>
      <c r="BLT18" s="37"/>
      <c r="BLU18" s="38"/>
      <c r="BLV18" s="90"/>
    </row>
    <row r="19" spans="1:1686" ht="20.100000000000001" customHeight="1" x14ac:dyDescent="0.25">
      <c r="A19" s="100" t="s">
        <v>17</v>
      </c>
      <c r="B19" s="63" t="str">
        <f>IF(LEN(C23)=0,"",C23)</f>
        <v>Doc - Rapport</v>
      </c>
      <c r="C19" s="205" t="s">
        <v>30</v>
      </c>
      <c r="D19" s="146" t="str">
        <f t="shared" si="0"/>
        <v>0h</v>
      </c>
      <c r="E19" s="39">
        <v>0</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41"/>
      <c r="BW19" s="41"/>
      <c r="BX19" s="41"/>
      <c r="BY19" s="139"/>
      <c r="BZ19" s="41"/>
      <c r="CA19" s="41"/>
      <c r="CB19" s="41"/>
      <c r="CC19" s="41"/>
      <c r="CD19" s="41"/>
      <c r="CE19" s="76"/>
      <c r="CF19" s="41"/>
      <c r="CG19" s="41"/>
      <c r="CH19" s="41"/>
      <c r="CI19" s="41"/>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41"/>
      <c r="MF19" s="41"/>
      <c r="MG19" s="41"/>
      <c r="MH19" s="41"/>
      <c r="MI19" s="76"/>
      <c r="MJ19" s="41"/>
      <c r="MK19" s="41"/>
      <c r="ML19" s="41"/>
      <c r="MM19" s="41"/>
      <c r="MN19" s="41"/>
      <c r="MO19" s="139"/>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41"/>
      <c r="OC19" s="41"/>
      <c r="OD19" s="41"/>
      <c r="OE19" s="76"/>
      <c r="OF19" s="66"/>
      <c r="OG19" s="66"/>
      <c r="OH19" s="66"/>
      <c r="OI19" s="66"/>
      <c r="OJ19" s="41"/>
      <c r="OK19" s="139"/>
      <c r="OL19" s="41"/>
      <c r="OM19" s="41"/>
      <c r="ON19" s="41"/>
      <c r="OO19" s="41"/>
      <c r="OP19" s="41"/>
      <c r="OQ19" s="76"/>
      <c r="OR19" s="41"/>
      <c r="OS19" s="41"/>
      <c r="OT19" s="41"/>
      <c r="OU19" s="41"/>
      <c r="OV19" s="41"/>
      <c r="OW19" s="139"/>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41"/>
      <c r="QV19" s="41"/>
      <c r="QW19" s="41"/>
      <c r="QX19" s="41"/>
      <c r="QY19" s="76"/>
      <c r="QZ19" s="41"/>
      <c r="RA19" s="41"/>
      <c r="RB19" s="41"/>
      <c r="RC19" s="41"/>
      <c r="RD19" s="41"/>
      <c r="RE19" s="139"/>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41"/>
      <c r="TC19" s="41"/>
      <c r="TD19" s="41"/>
      <c r="TE19" s="41"/>
      <c r="TF19" s="41"/>
      <c r="TG19" s="76"/>
      <c r="TH19" s="41"/>
      <c r="TI19" s="41"/>
      <c r="TJ19" s="41"/>
      <c r="TK19" s="41"/>
      <c r="TL19" s="41"/>
      <c r="TM19" s="139"/>
      <c r="TN19" s="41"/>
      <c r="TO19" s="41"/>
      <c r="TP19" s="41"/>
      <c r="TQ19" s="41"/>
      <c r="TR19" s="41"/>
      <c r="TS19" s="76"/>
      <c r="TT19" s="41"/>
      <c r="TU19" s="41"/>
      <c r="TV19" s="41"/>
      <c r="TW19" s="41"/>
      <c r="TX19" s="41"/>
      <c r="TY19" s="42"/>
      <c r="TZ19" s="40"/>
      <c r="UA19" s="66"/>
      <c r="UB19" s="66"/>
      <c r="UC19" s="66"/>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41"/>
      <c r="VU19" s="139"/>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41"/>
      <c r="XI19" s="41"/>
      <c r="XJ19" s="41"/>
      <c r="XK19" s="76"/>
      <c r="XL19" s="66"/>
      <c r="XM19" s="66"/>
      <c r="XN19" s="66"/>
      <c r="XO19" s="66"/>
      <c r="XP19" s="41"/>
      <c r="XQ19" s="139"/>
      <c r="XR19" s="41"/>
      <c r="XS19" s="41"/>
      <c r="XT19" s="41"/>
      <c r="XU19" s="41"/>
      <c r="XV19" s="41"/>
      <c r="XW19" s="76"/>
      <c r="XX19" s="41"/>
      <c r="XY19" s="41"/>
      <c r="XZ19" s="41"/>
      <c r="YA19" s="41"/>
      <c r="YB19" s="41"/>
      <c r="YC19" s="139"/>
      <c r="YD19" s="41"/>
      <c r="YE19" s="41"/>
      <c r="YF19" s="41"/>
      <c r="YG19" s="41"/>
      <c r="YH19" s="41"/>
      <c r="YI19" s="76"/>
      <c r="YJ19" s="41"/>
      <c r="YK19" s="41"/>
      <c r="YL19" s="41"/>
      <c r="YM19" s="41"/>
      <c r="YN19" s="41"/>
      <c r="YO19" s="42"/>
      <c r="YP19" s="40"/>
      <c r="YQ19" s="66"/>
      <c r="YR19" s="66"/>
      <c r="YS19" s="66"/>
      <c r="YT19" s="41"/>
      <c r="YU19" s="134"/>
      <c r="YV19" s="41"/>
      <c r="YW19" s="41"/>
      <c r="YX19" s="41"/>
      <c r="YY19" s="41"/>
      <c r="YZ19" s="41"/>
      <c r="ZA19" s="139"/>
      <c r="ZB19" s="41"/>
      <c r="ZC19" s="41"/>
      <c r="ZD19" s="41"/>
      <c r="ZE19" s="41"/>
      <c r="ZF19" s="41"/>
      <c r="ZG19" s="76"/>
      <c r="ZH19" s="41"/>
      <c r="ZI19" s="41"/>
      <c r="ZJ19" s="41"/>
      <c r="ZK19" s="41"/>
      <c r="ZL19" s="41"/>
      <c r="ZM19" s="139"/>
      <c r="ZN19" s="41"/>
      <c r="ZO19" s="41"/>
      <c r="ZP19" s="41"/>
      <c r="ZQ19" s="41"/>
      <c r="ZR19" s="41"/>
      <c r="ZS19" s="76"/>
      <c r="ZT19" s="66"/>
      <c r="ZU19" s="66"/>
      <c r="ZV19" s="66"/>
      <c r="ZW19" s="66"/>
      <c r="ZX19" s="41"/>
      <c r="ZY19" s="139"/>
      <c r="ZZ19" s="41"/>
      <c r="AAA19" s="41"/>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41"/>
      <c r="ACJ19" s="41"/>
      <c r="ACK19" s="41"/>
      <c r="ACL19" s="41"/>
      <c r="ACM19" s="76"/>
      <c r="ACN19" s="41"/>
      <c r="ACO19" s="41"/>
      <c r="ACP19" s="41"/>
      <c r="ACQ19" s="41"/>
      <c r="ACR19" s="41"/>
      <c r="ACS19" s="139"/>
      <c r="ACT19" s="41"/>
      <c r="ACU19" s="41"/>
      <c r="ACV19" s="41"/>
      <c r="ACW19" s="41"/>
      <c r="ACX19" s="41"/>
      <c r="ACY19" s="76"/>
      <c r="ACZ19" s="41"/>
      <c r="ADA19" s="41"/>
      <c r="ADB19" s="41"/>
      <c r="ADC19" s="41"/>
      <c r="ADD19" s="41"/>
      <c r="ADE19" s="42"/>
      <c r="ADF19" s="40"/>
      <c r="ADG19" s="66"/>
      <c r="ADH19" s="66"/>
      <c r="ADI19" s="66"/>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41"/>
      <c r="AEQ19" s="41"/>
      <c r="AER19" s="41"/>
      <c r="AES19" s="41"/>
      <c r="AET19" s="41"/>
      <c r="AEU19" s="76"/>
      <c r="AEV19" s="41"/>
      <c r="AEW19" s="41"/>
      <c r="AEX19" s="41"/>
      <c r="AEY19" s="41"/>
      <c r="AEZ19" s="41"/>
      <c r="AFA19" s="139"/>
      <c r="AFB19" s="41"/>
      <c r="AFC19" s="41"/>
      <c r="AFD19" s="41"/>
      <c r="AFE19" s="41"/>
      <c r="AFF19" s="41"/>
      <c r="AFG19" s="76"/>
      <c r="AFH19" s="41"/>
      <c r="AFI19" s="41"/>
      <c r="AFJ19" s="41"/>
      <c r="AFK19" s="41"/>
      <c r="AFL19" s="41"/>
      <c r="AFM19" s="42"/>
      <c r="AFN19" s="40"/>
      <c r="AFO19" s="66"/>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41"/>
      <c r="AGZ19" s="41"/>
      <c r="AHA19" s="41"/>
      <c r="AHB19" s="41"/>
      <c r="AHC19" s="76"/>
      <c r="AHD19" s="41"/>
      <c r="AHE19" s="41"/>
      <c r="AHF19" s="41"/>
      <c r="AHG19" s="41"/>
      <c r="AHH19" s="41"/>
      <c r="AHI19" s="139"/>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41"/>
      <c r="AJG19" s="41"/>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40"/>
      <c r="AKE19" s="66"/>
      <c r="AKF19" s="66"/>
      <c r="AKG19" s="66"/>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41"/>
      <c r="ALY19" s="139"/>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41"/>
      <c r="ANM19" s="41"/>
      <c r="ANN19" s="41"/>
      <c r="ANO19" s="76"/>
      <c r="ANP19" s="66"/>
      <c r="ANQ19" s="66"/>
      <c r="ANR19" s="66"/>
      <c r="ANS19" s="66"/>
      <c r="ANT19" s="41"/>
      <c r="ANU19" s="139"/>
      <c r="ANV19" s="41"/>
      <c r="ANW19" s="41"/>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40"/>
      <c r="AOU19" s="66"/>
      <c r="AOV19" s="66"/>
      <c r="AOW19" s="66"/>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41"/>
      <c r="AQO19" s="139"/>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41"/>
      <c r="ASC19" s="41"/>
      <c r="ASD19" s="41"/>
      <c r="ASE19" s="76"/>
      <c r="ASF19" s="66"/>
      <c r="ASG19" s="66"/>
      <c r="ASH19" s="66"/>
      <c r="ASI19" s="66"/>
      <c r="ASJ19" s="41"/>
      <c r="ASK19" s="139"/>
      <c r="ASL19" s="41"/>
      <c r="ASM19" s="41"/>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40"/>
      <c r="ATK19" s="66"/>
      <c r="ATL19" s="66"/>
      <c r="ATM19" s="66"/>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41"/>
      <c r="AUK19" s="41"/>
      <c r="AUL19" s="41"/>
      <c r="AUM19" s="76"/>
      <c r="AUN19" s="66"/>
      <c r="AUO19" s="66"/>
      <c r="AUP19" s="66"/>
      <c r="AUQ19" s="66"/>
      <c r="AUR19" s="41"/>
      <c r="AUS19" s="139"/>
      <c r="AUT19" s="41"/>
      <c r="AUU19" s="41"/>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40"/>
      <c r="AVS19" s="66"/>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41"/>
      <c r="AXD19" s="41"/>
      <c r="AXE19" s="41"/>
      <c r="AXF19" s="41"/>
      <c r="AXG19" s="76"/>
      <c r="AXH19" s="41"/>
      <c r="AXI19" s="41"/>
      <c r="AXJ19" s="41"/>
      <c r="AXK19" s="41"/>
      <c r="AXL19" s="41"/>
      <c r="AXM19" s="139"/>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41"/>
      <c r="AZK19" s="41"/>
      <c r="AZL19" s="41"/>
      <c r="AZM19" s="41"/>
      <c r="AZN19" s="41"/>
      <c r="AZO19" s="76"/>
      <c r="AZP19" s="41"/>
      <c r="AZQ19" s="41"/>
      <c r="AZR19" s="41"/>
      <c r="AZS19" s="41"/>
      <c r="AZT19" s="41"/>
      <c r="AZU19" s="139"/>
      <c r="AZV19" s="41"/>
      <c r="AZW19" s="41"/>
      <c r="AZX19" s="41"/>
      <c r="AZY19" s="41"/>
      <c r="AZZ19" s="41"/>
      <c r="BAA19" s="76"/>
      <c r="BAB19" s="41"/>
      <c r="BAC19" s="41"/>
      <c r="BAD19" s="41"/>
      <c r="BAE19" s="41"/>
      <c r="BAF19" s="41"/>
      <c r="BAG19" s="42"/>
      <c r="BAH19" s="40"/>
      <c r="BAI19" s="66"/>
      <c r="BAJ19" s="66"/>
      <c r="BAK19" s="66"/>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41"/>
      <c r="BBT19" s="41"/>
      <c r="BBU19" s="41"/>
      <c r="BBV19" s="41"/>
      <c r="BBW19" s="76"/>
      <c r="BBX19" s="41"/>
      <c r="BBY19" s="41"/>
      <c r="BBZ19" s="41"/>
      <c r="BCA19" s="41"/>
      <c r="BCB19" s="41"/>
      <c r="BCC19" s="139"/>
      <c r="BCD19" s="41"/>
      <c r="BCE19" s="41"/>
      <c r="BCF19" s="41"/>
      <c r="BCG19" s="41"/>
      <c r="BCH19" s="41"/>
      <c r="BCI19" s="76"/>
      <c r="BCJ19" s="41"/>
      <c r="BCK19" s="41"/>
      <c r="BCL19" s="41"/>
      <c r="BCM19" s="41"/>
      <c r="BCN19" s="41"/>
      <c r="BCO19" s="42"/>
      <c r="BCP19" s="40"/>
      <c r="BCQ19" s="66"/>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41"/>
      <c r="BEA19" s="41"/>
      <c r="BEB19" s="41"/>
      <c r="BEC19" s="41"/>
      <c r="BED19" s="41"/>
      <c r="BEE19" s="76"/>
      <c r="BEF19" s="41"/>
      <c r="BEG19" s="41"/>
      <c r="BEH19" s="41"/>
      <c r="BEI19" s="41"/>
      <c r="BEJ19" s="41"/>
      <c r="BEK19" s="139"/>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41"/>
      <c r="BGJ19" s="41"/>
      <c r="BGK19" s="41"/>
      <c r="BGL19" s="41"/>
      <c r="BGM19" s="76"/>
      <c r="BGN19" s="41"/>
      <c r="BGO19" s="41"/>
      <c r="BGP19" s="41"/>
      <c r="BGQ19" s="41"/>
      <c r="BGR19" s="41"/>
      <c r="BGS19" s="139"/>
      <c r="BGT19" s="41"/>
      <c r="BGU19" s="41"/>
      <c r="BGV19" s="41"/>
      <c r="BGW19" s="41"/>
      <c r="BGX19" s="41"/>
      <c r="BGY19" s="76"/>
      <c r="BGZ19" s="41"/>
      <c r="BHA19" s="41"/>
      <c r="BHB19" s="41"/>
      <c r="BHC19" s="41"/>
      <c r="BHD19" s="41"/>
      <c r="BHE19" s="42"/>
      <c r="BHF19" s="40"/>
      <c r="BHG19" s="66"/>
      <c r="BHH19" s="66"/>
      <c r="BHI19" s="66"/>
      <c r="BHJ19" s="41"/>
      <c r="BHK19" s="134"/>
      <c r="BHL19" s="41"/>
      <c r="BHM19" s="41"/>
      <c r="BHN19" s="41"/>
      <c r="BHO19" s="41"/>
      <c r="BHP19" s="41"/>
      <c r="BHQ19" s="139"/>
      <c r="BHR19" s="41"/>
      <c r="BHS19" s="41"/>
      <c r="BHT19" s="41"/>
      <c r="BHU19" s="41"/>
      <c r="BHV19" s="41"/>
      <c r="BHW19" s="76"/>
      <c r="BHX19" s="41"/>
      <c r="BHY19" s="41"/>
      <c r="BHZ19" s="41"/>
      <c r="BIA19" s="41"/>
      <c r="BIB19" s="41"/>
      <c r="BIC19" s="139"/>
      <c r="BID19" s="41"/>
      <c r="BIE19" s="41"/>
      <c r="BIF19" s="41"/>
      <c r="BIG19" s="41"/>
      <c r="BIH19" s="41"/>
      <c r="BII19" s="76"/>
      <c r="BIJ19" s="66"/>
      <c r="BIK19" s="66"/>
      <c r="BIL19" s="66"/>
      <c r="BIM19" s="66"/>
      <c r="BIN19" s="41"/>
      <c r="BIO19" s="139"/>
      <c r="BIP19" s="41"/>
      <c r="BIQ19" s="41"/>
      <c r="BIR19" s="41"/>
      <c r="BIS19" s="41"/>
      <c r="BIT19" s="41"/>
      <c r="BIU19" s="76"/>
      <c r="BIV19" s="41"/>
      <c r="BIW19" s="41"/>
      <c r="BIX19" s="41"/>
      <c r="BIY19" s="41"/>
      <c r="BIZ19" s="41"/>
      <c r="BJA19" s="139"/>
      <c r="BJB19" s="41"/>
      <c r="BJC19" s="41"/>
      <c r="BJD19" s="41"/>
      <c r="BJE19" s="41"/>
      <c r="BJF19" s="41"/>
      <c r="BJG19" s="76"/>
      <c r="BJH19" s="41"/>
      <c r="BJI19" s="41"/>
      <c r="BJJ19" s="41"/>
      <c r="BJK19" s="41"/>
      <c r="BJL19" s="41"/>
      <c r="BJM19" s="42"/>
      <c r="BJN19" s="40"/>
      <c r="BJO19" s="66"/>
      <c r="BJP19" s="66"/>
      <c r="BJQ19" s="66"/>
      <c r="BJR19" s="41"/>
      <c r="BJS19" s="134"/>
      <c r="BJT19" s="41"/>
      <c r="BJU19" s="41"/>
      <c r="BJV19" s="41"/>
      <c r="BJW19" s="41"/>
      <c r="BJX19" s="41"/>
      <c r="BJY19" s="139"/>
      <c r="BJZ19" s="41"/>
      <c r="BKA19" s="41"/>
      <c r="BKB19" s="41"/>
      <c r="BKC19" s="41"/>
      <c r="BKD19" s="41"/>
      <c r="BKE19" s="76"/>
      <c r="BKF19" s="41"/>
      <c r="BKG19" s="41"/>
      <c r="BKH19" s="41"/>
      <c r="BKI19" s="41"/>
      <c r="BKJ19" s="41"/>
      <c r="BKK19" s="139"/>
      <c r="BKL19" s="41"/>
      <c r="BKM19" s="41"/>
      <c r="BKN19" s="41"/>
      <c r="BKO19" s="41"/>
      <c r="BKP19" s="41"/>
      <c r="BKQ19" s="76"/>
      <c r="BKR19" s="66"/>
      <c r="BKS19" s="66"/>
      <c r="BKT19" s="66"/>
      <c r="BKU19" s="66"/>
      <c r="BKV19" s="41"/>
      <c r="BKW19" s="139"/>
      <c r="BKX19" s="41"/>
      <c r="BKY19" s="41"/>
      <c r="BKZ19" s="41"/>
      <c r="BLA19" s="41"/>
      <c r="BLB19" s="41"/>
      <c r="BLC19" s="76"/>
      <c r="BLD19" s="41"/>
      <c r="BLE19" s="41"/>
      <c r="BLF19" s="41"/>
      <c r="BLG19" s="41"/>
      <c r="BLH19" s="41"/>
      <c r="BLI19" s="139"/>
      <c r="BLJ19" s="41"/>
      <c r="BLK19" s="41"/>
      <c r="BLL19" s="41"/>
      <c r="BLM19" s="41"/>
      <c r="BLN19" s="41"/>
      <c r="BLO19" s="76"/>
      <c r="BLP19" s="41"/>
      <c r="BLQ19" s="41"/>
      <c r="BLR19" s="41"/>
      <c r="BLS19" s="41"/>
      <c r="BLT19" s="41"/>
      <c r="BLU19" s="42"/>
      <c r="BLV19" s="90"/>
    </row>
    <row r="20" spans="1:1686" ht="20.100000000000001" customHeight="1" x14ac:dyDescent="0.25">
      <c r="A20" s="100" t="s">
        <v>18</v>
      </c>
      <c r="B20" s="63" t="str">
        <f>IF(LEN(C25)=0,"",C25)</f>
        <v>Conception - Maquettes</v>
      </c>
      <c r="C20" s="207"/>
      <c r="D20" s="147" t="str">
        <f t="shared" si="0"/>
        <v>0h</v>
      </c>
      <c r="E20" s="27">
        <v>0</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29"/>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29"/>
      <c r="OS20" s="29"/>
      <c r="OT20" s="29"/>
      <c r="OU20" s="29"/>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67"/>
      <c r="VE20" s="67"/>
      <c r="VF20" s="67"/>
      <c r="VG20" s="67"/>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29"/>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29"/>
      <c r="AIO20" s="29"/>
      <c r="AIP20" s="29"/>
      <c r="AIQ20" s="29"/>
      <c r="AIR20" s="29"/>
      <c r="AIS20" s="136"/>
      <c r="AIT20" s="29"/>
      <c r="AIU20" s="29"/>
      <c r="AIV20" s="29"/>
      <c r="AIW20" s="29"/>
      <c r="AIX20" s="29"/>
      <c r="AIY20" s="75"/>
      <c r="AIZ20" s="67"/>
      <c r="AJA20" s="67"/>
      <c r="AJB20" s="67"/>
      <c r="AJC20" s="67"/>
      <c r="AJD20" s="29"/>
      <c r="AJE20" s="136"/>
      <c r="AJF20" s="29"/>
      <c r="AJG20" s="29"/>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29"/>
      <c r="AKI20" s="131"/>
      <c r="AKJ20" s="29"/>
      <c r="AKK20" s="29"/>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29"/>
      <c r="APO20" s="29"/>
      <c r="APP20" s="29"/>
      <c r="APQ20" s="136"/>
      <c r="APR20" s="29"/>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29"/>
      <c r="ASK20" s="13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28"/>
      <c r="ATK20" s="67"/>
      <c r="ATL20" s="67"/>
      <c r="ATM20" s="67"/>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29"/>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28"/>
      <c r="BHG20" s="67"/>
      <c r="BHH20" s="67"/>
      <c r="BHI20" s="67"/>
      <c r="BHJ20" s="29"/>
      <c r="BHK20" s="131"/>
      <c r="BHL20" s="29"/>
      <c r="BHM20" s="29"/>
      <c r="BHN20" s="29"/>
      <c r="BHO20" s="29"/>
      <c r="BHP20" s="29"/>
      <c r="BHQ20" s="136"/>
      <c r="BHR20" s="29"/>
      <c r="BHS20" s="29"/>
      <c r="BHT20" s="29"/>
      <c r="BHU20" s="29"/>
      <c r="BHV20" s="29"/>
      <c r="BHW20" s="75"/>
      <c r="BHX20" s="29"/>
      <c r="BHY20" s="29"/>
      <c r="BHZ20" s="29"/>
      <c r="BIA20" s="29"/>
      <c r="BIB20" s="29"/>
      <c r="BIC20" s="136"/>
      <c r="BID20" s="29"/>
      <c r="BIE20" s="29"/>
      <c r="BIF20" s="29"/>
      <c r="BIG20" s="29"/>
      <c r="BIH20" s="29"/>
      <c r="BII20" s="75"/>
      <c r="BIJ20" s="67"/>
      <c r="BIK20" s="67"/>
      <c r="BIL20" s="67"/>
      <c r="BIM20" s="67"/>
      <c r="BIN20" s="29"/>
      <c r="BIO20" s="136"/>
      <c r="BIP20" s="29"/>
      <c r="BIQ20" s="29"/>
      <c r="BIR20" s="29"/>
      <c r="BIS20" s="29"/>
      <c r="BIT20" s="37"/>
      <c r="BIU20" s="75"/>
      <c r="BIV20" s="29"/>
      <c r="BIW20" s="29"/>
      <c r="BIX20" s="29"/>
      <c r="BIY20" s="29"/>
      <c r="BIZ20" s="29"/>
      <c r="BJA20" s="136"/>
      <c r="BJB20" s="29"/>
      <c r="BJC20" s="29"/>
      <c r="BJD20" s="29"/>
      <c r="BJE20" s="29"/>
      <c r="BJF20" s="29"/>
      <c r="BJG20" s="75"/>
      <c r="BJH20" s="29"/>
      <c r="BJI20" s="29"/>
      <c r="BJJ20" s="29"/>
      <c r="BJK20" s="29"/>
      <c r="BJL20" s="29"/>
      <c r="BJM20" s="30"/>
      <c r="BJN20" s="28"/>
      <c r="BJO20" s="67"/>
      <c r="BJP20" s="67"/>
      <c r="BJQ20" s="67"/>
      <c r="BJR20" s="29"/>
      <c r="BJS20" s="131"/>
      <c r="BJT20" s="29"/>
      <c r="BJU20" s="29"/>
      <c r="BJV20" s="29"/>
      <c r="BJW20" s="29"/>
      <c r="BJX20" s="29"/>
      <c r="BJY20" s="136"/>
      <c r="BJZ20" s="29"/>
      <c r="BKA20" s="29"/>
      <c r="BKB20" s="29"/>
      <c r="BKC20" s="29"/>
      <c r="BKD20" s="29"/>
      <c r="BKE20" s="75"/>
      <c r="BKF20" s="29"/>
      <c r="BKG20" s="29"/>
      <c r="BKH20" s="29"/>
      <c r="BKI20" s="29"/>
      <c r="BKJ20" s="29"/>
      <c r="BKK20" s="136"/>
      <c r="BKL20" s="29"/>
      <c r="BKM20" s="29"/>
      <c r="BKN20" s="29"/>
      <c r="BKO20" s="29"/>
      <c r="BKP20" s="29"/>
      <c r="BKQ20" s="75"/>
      <c r="BKR20" s="67"/>
      <c r="BKS20" s="67"/>
      <c r="BKT20" s="67"/>
      <c r="BKU20" s="67"/>
      <c r="BKV20" s="29"/>
      <c r="BKW20" s="136"/>
      <c r="BKX20" s="29"/>
      <c r="BKY20" s="29"/>
      <c r="BKZ20" s="29"/>
      <c r="BLA20" s="29"/>
      <c r="BLB20" s="37"/>
      <c r="BLC20" s="75"/>
      <c r="BLD20" s="29"/>
      <c r="BLE20" s="29"/>
      <c r="BLF20" s="29"/>
      <c r="BLG20" s="29"/>
      <c r="BLH20" s="29"/>
      <c r="BLI20" s="136"/>
      <c r="BLJ20" s="29"/>
      <c r="BLK20" s="29"/>
      <c r="BLL20" s="29"/>
      <c r="BLM20" s="29"/>
      <c r="BLN20" s="29"/>
      <c r="BLO20" s="75"/>
      <c r="BLP20" s="29"/>
      <c r="BLQ20" s="29"/>
      <c r="BLR20" s="29"/>
      <c r="BLS20" s="29"/>
      <c r="BLT20" s="29"/>
      <c r="BLU20" s="30"/>
      <c r="BLV20" s="90"/>
    </row>
    <row r="21" spans="1:1686" ht="20.100000000000001" customHeight="1" x14ac:dyDescent="0.25">
      <c r="A21" s="100" t="s">
        <v>17</v>
      </c>
      <c r="B21" s="63" t="str">
        <f>IF(LEN(C27)=0,"",C27)</f>
        <v>Conception - Base de données</v>
      </c>
      <c r="C21" s="205" t="s">
        <v>14</v>
      </c>
      <c r="D21" s="146" t="str">
        <f t="shared" si="0"/>
        <v>7h40min</v>
      </c>
      <c r="E21" s="31">
        <v>92</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33"/>
      <c r="AO21" s="137"/>
      <c r="AP21" s="33"/>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33"/>
      <c r="DE21" s="33"/>
      <c r="DF21" s="33"/>
      <c r="DG21" s="33"/>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167"/>
      <c r="FE21" s="181"/>
      <c r="FF21" s="167"/>
      <c r="FG21" s="167"/>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81"/>
      <c r="HN21" s="167"/>
      <c r="HO21" s="167"/>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33"/>
      <c r="JU21" s="181"/>
      <c r="JV21" s="167"/>
      <c r="JW21" s="167"/>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33"/>
      <c r="LD21" s="33"/>
      <c r="LE21" s="137"/>
      <c r="LF21" s="33"/>
      <c r="LG21" s="33"/>
      <c r="LH21" s="33"/>
      <c r="LI21" s="33"/>
      <c r="LJ21" s="33"/>
      <c r="LK21" s="74"/>
      <c r="LL21" s="33"/>
      <c r="LM21" s="33"/>
      <c r="LN21" s="167"/>
      <c r="LO21" s="167"/>
      <c r="LP21" s="167"/>
      <c r="LQ21" s="137"/>
      <c r="LR21" s="33"/>
      <c r="LS21" s="33"/>
      <c r="LT21" s="33"/>
      <c r="LU21" s="33"/>
      <c r="LV21" s="33"/>
      <c r="LW21" s="74"/>
      <c r="LX21" s="64"/>
      <c r="LY21" s="64"/>
      <c r="LZ21" s="64"/>
      <c r="MA21" s="64"/>
      <c r="MB21" s="33"/>
      <c r="MC21" s="137"/>
      <c r="MD21" s="33"/>
      <c r="ME21" s="33"/>
      <c r="MF21" s="33"/>
      <c r="MG21" s="33"/>
      <c r="MH21" s="33"/>
      <c r="MI21" s="74"/>
      <c r="MJ21" s="33"/>
      <c r="MK21" s="33"/>
      <c r="ML21" s="33"/>
      <c r="MM21" s="33"/>
      <c r="MN21" s="33"/>
      <c r="MO21" s="137"/>
      <c r="MP21" s="33"/>
      <c r="MQ21" s="33"/>
      <c r="MR21" s="33"/>
      <c r="MS21" s="33"/>
      <c r="MT21" s="33"/>
      <c r="MU21" s="74"/>
      <c r="MV21" s="33"/>
      <c r="MW21" s="33"/>
      <c r="MX21" s="33"/>
      <c r="MY21" s="33"/>
      <c r="MZ21" s="33"/>
      <c r="NA21" s="34"/>
      <c r="NB21" s="32"/>
      <c r="NC21" s="64"/>
      <c r="ND21" s="64"/>
      <c r="NE21" s="64"/>
      <c r="NF21" s="33"/>
      <c r="NG21" s="132"/>
      <c r="NH21" s="33"/>
      <c r="NI21" s="33"/>
      <c r="NJ21" s="33"/>
      <c r="NK21" s="33"/>
      <c r="NL21" s="33"/>
      <c r="NM21" s="137"/>
      <c r="NN21" s="33"/>
      <c r="NO21" s="33"/>
      <c r="NP21" s="33"/>
      <c r="NQ21" s="33"/>
      <c r="NR21" s="167"/>
      <c r="NS21" s="182"/>
      <c r="NT21" s="167"/>
      <c r="NU21" s="33"/>
      <c r="NV21" s="33"/>
      <c r="NW21" s="33"/>
      <c r="NX21" s="33"/>
      <c r="NY21" s="137"/>
      <c r="NZ21" s="33"/>
      <c r="OA21" s="33"/>
      <c r="OB21" s="33"/>
      <c r="OC21" s="33"/>
      <c r="OD21" s="33"/>
      <c r="OE21" s="74"/>
      <c r="OF21" s="64"/>
      <c r="OG21" s="64"/>
      <c r="OH21" s="64"/>
      <c r="OI21" s="64"/>
      <c r="OJ21" s="33"/>
      <c r="OK21" s="137"/>
      <c r="OL21" s="33"/>
      <c r="OM21" s="33"/>
      <c r="ON21" s="33"/>
      <c r="OO21" s="33"/>
      <c r="OP21" s="33"/>
      <c r="OQ21" s="74"/>
      <c r="OR21" s="33"/>
      <c r="OS21" s="33"/>
      <c r="OT21" s="33"/>
      <c r="OU21" s="33"/>
      <c r="OV21" s="33"/>
      <c r="OW21" s="137"/>
      <c r="OX21" s="33"/>
      <c r="OY21" s="33"/>
      <c r="OZ21" s="33"/>
      <c r="PA21" s="33"/>
      <c r="PB21" s="33"/>
      <c r="PC21" s="74"/>
      <c r="PD21" s="33"/>
      <c r="PE21" s="33"/>
      <c r="PF21" s="33"/>
      <c r="PG21" s="33"/>
      <c r="PH21" s="33"/>
      <c r="PI21" s="34"/>
      <c r="PJ21" s="32"/>
      <c r="PK21" s="64"/>
      <c r="PL21" s="64"/>
      <c r="PM21" s="64"/>
      <c r="PN21" s="33"/>
      <c r="PO21" s="132"/>
      <c r="PP21" s="33"/>
      <c r="PQ21" s="33"/>
      <c r="PR21" s="33"/>
      <c r="PS21" s="33"/>
      <c r="PT21" s="33"/>
      <c r="PU21" s="137"/>
      <c r="PV21" s="33"/>
      <c r="PW21" s="33"/>
      <c r="PX21" s="33"/>
      <c r="PY21" s="167"/>
      <c r="PZ21" s="167"/>
      <c r="QA21" s="182"/>
      <c r="QB21" s="33"/>
      <c r="QC21" s="33"/>
      <c r="QD21" s="33"/>
      <c r="QE21" s="33"/>
      <c r="QF21" s="33"/>
      <c r="QG21" s="137"/>
      <c r="QH21" s="33"/>
      <c r="QI21" s="33"/>
      <c r="QJ21" s="33"/>
      <c r="QK21" s="33"/>
      <c r="QL21" s="33"/>
      <c r="QM21" s="74"/>
      <c r="QN21" s="64"/>
      <c r="QO21" s="64"/>
      <c r="QP21" s="64"/>
      <c r="QQ21" s="64"/>
      <c r="QR21" s="33"/>
      <c r="QS21" s="137"/>
      <c r="QT21" s="33"/>
      <c r="QU21" s="33"/>
      <c r="QV21" s="33"/>
      <c r="QW21" s="33"/>
      <c r="QX21" s="33"/>
      <c r="QY21" s="74"/>
      <c r="QZ21" s="33"/>
      <c r="RA21" s="33"/>
      <c r="RB21" s="33"/>
      <c r="RC21" s="33"/>
      <c r="RD21" s="33"/>
      <c r="RE21" s="137"/>
      <c r="RF21" s="33"/>
      <c r="RG21" s="33"/>
      <c r="RH21" s="33"/>
      <c r="RI21" s="33"/>
      <c r="RJ21" s="33"/>
      <c r="RK21" s="74"/>
      <c r="RL21" s="33"/>
      <c r="RM21" s="33"/>
      <c r="RN21" s="33"/>
      <c r="RO21" s="33"/>
      <c r="RP21" s="33"/>
      <c r="RQ21" s="34"/>
      <c r="RR21" s="32"/>
      <c r="RS21" s="64"/>
      <c r="RT21" s="64"/>
      <c r="RU21" s="64"/>
      <c r="RV21" s="33"/>
      <c r="RW21" s="132"/>
      <c r="RX21" s="33"/>
      <c r="RY21" s="33"/>
      <c r="RZ21" s="33"/>
      <c r="SA21" s="33"/>
      <c r="SB21" s="33"/>
      <c r="SC21" s="137"/>
      <c r="SD21" s="33"/>
      <c r="SE21" s="33"/>
      <c r="SF21" s="33"/>
      <c r="SG21" s="33"/>
      <c r="SH21" s="33"/>
      <c r="SI21" s="74"/>
      <c r="SJ21" s="33"/>
      <c r="SK21" s="33"/>
      <c r="SL21" s="33"/>
      <c r="SM21" s="33"/>
      <c r="SN21" s="33"/>
      <c r="SO21" s="181"/>
      <c r="SP21" s="167"/>
      <c r="SQ21" s="167"/>
      <c r="SR21" s="33"/>
      <c r="SS21" s="33"/>
      <c r="ST21" s="33"/>
      <c r="SU21" s="74"/>
      <c r="SV21" s="64"/>
      <c r="SW21" s="64"/>
      <c r="SX21" s="64"/>
      <c r="SY21" s="64"/>
      <c r="SZ21" s="33"/>
      <c r="TA21" s="137"/>
      <c r="TB21" s="33"/>
      <c r="TC21" s="33"/>
      <c r="TD21" s="33"/>
      <c r="TE21" s="33"/>
      <c r="TF21" s="33"/>
      <c r="TG21" s="74"/>
      <c r="TH21" s="33"/>
      <c r="TI21" s="33"/>
      <c r="TJ21" s="33"/>
      <c r="TK21" s="33"/>
      <c r="TL21" s="33"/>
      <c r="TM21" s="137"/>
      <c r="TN21" s="33"/>
      <c r="TO21" s="33"/>
      <c r="TP21" s="33"/>
      <c r="TQ21" s="33"/>
      <c r="TR21" s="33"/>
      <c r="TS21" s="74"/>
      <c r="TT21" s="33"/>
      <c r="TU21" s="33"/>
      <c r="TV21" s="33"/>
      <c r="TW21" s="33"/>
      <c r="TX21" s="33"/>
      <c r="TY21" s="34"/>
      <c r="TZ21" s="32"/>
      <c r="UA21" s="64"/>
      <c r="UB21" s="64"/>
      <c r="UC21" s="64"/>
      <c r="UD21" s="33"/>
      <c r="UE21" s="132"/>
      <c r="UF21" s="33"/>
      <c r="UG21" s="33"/>
      <c r="UH21" s="33"/>
      <c r="UI21" s="33"/>
      <c r="UJ21" s="33"/>
      <c r="UK21" s="137"/>
      <c r="UL21" s="33"/>
      <c r="UM21" s="33"/>
      <c r="UN21" s="167"/>
      <c r="UO21" s="167"/>
      <c r="UP21" s="167"/>
      <c r="UQ21" s="74"/>
      <c r="UR21" s="33"/>
      <c r="US21" s="33"/>
      <c r="UT21" s="33"/>
      <c r="UU21" s="33"/>
      <c r="UV21" s="33"/>
      <c r="UW21" s="137"/>
      <c r="UX21" s="33"/>
      <c r="UY21" s="33"/>
      <c r="UZ21" s="33"/>
      <c r="VA21" s="33"/>
      <c r="VB21" s="33"/>
      <c r="VC21" s="74"/>
      <c r="VD21" s="64"/>
      <c r="VE21" s="64"/>
      <c r="VF21" s="64"/>
      <c r="VG21" s="64"/>
      <c r="VH21" s="33"/>
      <c r="VI21" s="137"/>
      <c r="VJ21" s="33"/>
      <c r="VK21" s="33"/>
      <c r="VL21" s="33"/>
      <c r="VM21" s="33"/>
      <c r="VN21" s="33"/>
      <c r="VO21" s="74"/>
      <c r="VP21" s="33"/>
      <c r="VQ21" s="33"/>
      <c r="VR21" s="33"/>
      <c r="VS21" s="33"/>
      <c r="VT21" s="33"/>
      <c r="VU21" s="137"/>
      <c r="VV21" s="33"/>
      <c r="VW21" s="33"/>
      <c r="VX21" s="33"/>
      <c r="VY21" s="33"/>
      <c r="VZ21" s="33"/>
      <c r="WA21" s="74"/>
      <c r="WB21" s="33"/>
      <c r="WC21" s="33"/>
      <c r="WD21" s="33"/>
      <c r="WE21" s="33"/>
      <c r="WF21" s="33"/>
      <c r="WG21" s="34"/>
      <c r="WH21" s="32"/>
      <c r="WI21" s="64"/>
      <c r="WJ21" s="64"/>
      <c r="WK21" s="64"/>
      <c r="WL21" s="33"/>
      <c r="WM21" s="132"/>
      <c r="WN21" s="33"/>
      <c r="WO21" s="33"/>
      <c r="WP21" s="33"/>
      <c r="WQ21" s="33"/>
      <c r="WR21" s="33"/>
      <c r="WS21" s="137"/>
      <c r="WT21" s="33"/>
      <c r="WU21" s="33"/>
      <c r="WV21" s="33"/>
      <c r="WW21" s="33"/>
      <c r="WX21" s="33"/>
      <c r="WY21" s="74"/>
      <c r="WZ21" s="167"/>
      <c r="XA21" s="167"/>
      <c r="XB21" s="167"/>
      <c r="XC21" s="33"/>
      <c r="XD21" s="33"/>
      <c r="XE21" s="137"/>
      <c r="XF21" s="33"/>
      <c r="XG21" s="33"/>
      <c r="XH21" s="33"/>
      <c r="XI21" s="33"/>
      <c r="XJ21" s="33"/>
      <c r="XK21" s="74"/>
      <c r="XL21" s="64"/>
      <c r="XM21" s="64"/>
      <c r="XN21" s="64"/>
      <c r="XO21" s="64"/>
      <c r="XP21" s="33"/>
      <c r="XQ21" s="137"/>
      <c r="XR21" s="33"/>
      <c r="XS21" s="33"/>
      <c r="XT21" s="33"/>
      <c r="XU21" s="33"/>
      <c r="XV21" s="33"/>
      <c r="XW21" s="74"/>
      <c r="XX21" s="33"/>
      <c r="XY21" s="33"/>
      <c r="XZ21" s="33"/>
      <c r="YA21" s="33"/>
      <c r="YB21" s="33"/>
      <c r="YC21" s="137"/>
      <c r="YD21" s="33"/>
      <c r="YE21" s="33"/>
      <c r="YF21" s="33"/>
      <c r="YG21" s="33"/>
      <c r="YH21" s="33"/>
      <c r="YI21" s="74"/>
      <c r="YJ21" s="33"/>
      <c r="YK21" s="33"/>
      <c r="YL21" s="33"/>
      <c r="YM21" s="33"/>
      <c r="YN21" s="33"/>
      <c r="YO21" s="34"/>
      <c r="YP21" s="32"/>
      <c r="YQ21" s="64"/>
      <c r="YR21" s="64"/>
      <c r="YS21" s="64"/>
      <c r="YT21" s="33"/>
      <c r="YU21" s="132"/>
      <c r="YV21" s="33"/>
      <c r="YW21" s="33"/>
      <c r="YX21" s="33"/>
      <c r="YY21" s="33"/>
      <c r="YZ21" s="33"/>
      <c r="ZA21" s="137"/>
      <c r="ZB21" s="33"/>
      <c r="ZC21" s="33"/>
      <c r="ZD21" s="33"/>
      <c r="ZE21" s="167"/>
      <c r="ZF21" s="167"/>
      <c r="ZG21" s="182"/>
      <c r="ZH21" s="33"/>
      <c r="ZI21" s="33"/>
      <c r="ZJ21" s="33"/>
      <c r="ZK21" s="33"/>
      <c r="ZL21" s="33"/>
      <c r="ZM21" s="137"/>
      <c r="ZN21" s="33"/>
      <c r="ZO21" s="33"/>
      <c r="ZP21" s="33"/>
      <c r="ZQ21" s="33"/>
      <c r="ZR21" s="33"/>
      <c r="ZS21" s="74"/>
      <c r="ZT21" s="64"/>
      <c r="ZU21" s="64"/>
      <c r="ZV21" s="64"/>
      <c r="ZW21" s="64"/>
      <c r="ZX21" s="33"/>
      <c r="ZY21" s="137"/>
      <c r="ZZ21" s="33"/>
      <c r="AAA21" s="33"/>
      <c r="AAB21" s="33"/>
      <c r="AAC21" s="33"/>
      <c r="AAD21" s="33"/>
      <c r="AAE21" s="74"/>
      <c r="AAF21" s="33"/>
      <c r="AAG21" s="33"/>
      <c r="AAH21" s="33"/>
      <c r="AAI21" s="33"/>
      <c r="AAJ21" s="33"/>
      <c r="AAK21" s="137"/>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167"/>
      <c r="ABH21" s="167"/>
      <c r="ABI21" s="181"/>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33"/>
      <c r="ACG21" s="137"/>
      <c r="ACH21" s="33"/>
      <c r="ACI21" s="33"/>
      <c r="ACJ21" s="33"/>
      <c r="ACK21" s="33"/>
      <c r="ACL21" s="33"/>
      <c r="ACM21" s="74"/>
      <c r="ACN21" s="33"/>
      <c r="ACO21" s="33"/>
      <c r="ACP21" s="33"/>
      <c r="ACQ21" s="33"/>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167"/>
      <c r="ADV21" s="167"/>
      <c r="ADW21" s="182"/>
      <c r="ADX21" s="33"/>
      <c r="ADY21" s="33"/>
      <c r="ADZ21" s="33"/>
      <c r="AEA21" s="33"/>
      <c r="AEB21" s="33"/>
      <c r="AEC21" s="137"/>
      <c r="AED21" s="33"/>
      <c r="AEE21" s="33"/>
      <c r="AEF21" s="33"/>
      <c r="AEG21" s="33"/>
      <c r="AEH21" s="33"/>
      <c r="AEI21" s="74"/>
      <c r="AEJ21" s="64"/>
      <c r="AEK21" s="64"/>
      <c r="AEL21" s="64"/>
      <c r="AEM21" s="64"/>
      <c r="AEN21" s="33"/>
      <c r="AEO21" s="137"/>
      <c r="AEP21" s="33"/>
      <c r="AEQ21" s="33"/>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167"/>
      <c r="AGD21" s="167"/>
      <c r="AGE21" s="182"/>
      <c r="AGF21" s="33"/>
      <c r="AGG21" s="33"/>
      <c r="AGH21" s="33"/>
      <c r="AGI21" s="33"/>
      <c r="AGJ21" s="33"/>
      <c r="AGK21" s="137"/>
      <c r="AGL21" s="33"/>
      <c r="AGM21" s="33"/>
      <c r="AGN21" s="33"/>
      <c r="AGO21" s="33"/>
      <c r="AGP21" s="33"/>
      <c r="AGQ21" s="74"/>
      <c r="AGR21" s="64"/>
      <c r="AGS21" s="64"/>
      <c r="AGT21" s="64"/>
      <c r="AGU21" s="64"/>
      <c r="AGV21" s="33"/>
      <c r="AGW21" s="137"/>
      <c r="AGX21" s="33"/>
      <c r="AGY21" s="33"/>
      <c r="AGZ21" s="33"/>
      <c r="AHA21" s="33"/>
      <c r="AHB21" s="33"/>
      <c r="AHC21" s="74"/>
      <c r="AHD21" s="33"/>
      <c r="AHE21" s="33"/>
      <c r="AHF21" s="33"/>
      <c r="AHG21" s="33"/>
      <c r="AHH21" s="33"/>
      <c r="AHI21" s="137"/>
      <c r="AHJ21" s="33"/>
      <c r="AHK21" s="33"/>
      <c r="AHL21" s="33"/>
      <c r="AHM21" s="33"/>
      <c r="AHN21" s="33"/>
      <c r="AHO21" s="74"/>
      <c r="AHP21" s="33"/>
      <c r="AHQ21" s="33"/>
      <c r="AHR21" s="33"/>
      <c r="AHS21" s="33"/>
      <c r="AHT21" s="33"/>
      <c r="AHU21" s="34"/>
      <c r="AHV21" s="32"/>
      <c r="AHW21" s="64"/>
      <c r="AHX21" s="64"/>
      <c r="AHY21" s="64"/>
      <c r="AHZ21" s="33"/>
      <c r="AIA21" s="132"/>
      <c r="AIB21" s="33"/>
      <c r="AIC21" s="33"/>
      <c r="AID21" s="33"/>
      <c r="AIE21" s="33"/>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33"/>
      <c r="AJO21" s="167"/>
      <c r="AJP21" s="167"/>
      <c r="AJQ21" s="181"/>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167"/>
      <c r="AKW21" s="167"/>
      <c r="AKX21" s="167"/>
      <c r="AKY21" s="33"/>
      <c r="AKZ21" s="33"/>
      <c r="ALA21" s="137"/>
      <c r="ALB21" s="33"/>
      <c r="ALC21" s="33"/>
      <c r="ALD21" s="33"/>
      <c r="ALE21" s="33"/>
      <c r="ALF21" s="33"/>
      <c r="ALG21" s="74"/>
      <c r="ALH21" s="64"/>
      <c r="ALI21" s="64"/>
      <c r="ALJ21" s="64"/>
      <c r="ALK21" s="64"/>
      <c r="ALL21" s="33"/>
      <c r="ALM21" s="137"/>
      <c r="ALN21" s="33"/>
      <c r="ALO21" s="33"/>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81"/>
      <c r="ANV21" s="167"/>
      <c r="ANW21" s="167"/>
      <c r="ANX21" s="33"/>
      <c r="ANY21" s="33"/>
      <c r="ANZ21" s="33"/>
      <c r="AOA21" s="74"/>
      <c r="AOB21" s="33"/>
      <c r="AOC21" s="33"/>
      <c r="AOD21" s="33"/>
      <c r="AOE21" s="33"/>
      <c r="AOF21" s="33"/>
      <c r="AOG21" s="137"/>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167"/>
      <c r="APP21" s="167"/>
      <c r="APQ21" s="181"/>
      <c r="APR21" s="33"/>
      <c r="APS21" s="33"/>
      <c r="APT21" s="33"/>
      <c r="APU21" s="33"/>
      <c r="APV21" s="33"/>
      <c r="APW21" s="74"/>
      <c r="APX21" s="64"/>
      <c r="APY21" s="64"/>
      <c r="APZ21" s="64"/>
      <c r="AQA21" s="64"/>
      <c r="AQB21" s="33"/>
      <c r="AQC21" s="137"/>
      <c r="AQD21" s="33"/>
      <c r="AQE21" s="33"/>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32"/>
      <c r="ARC21" s="64"/>
      <c r="ARD21" s="64"/>
      <c r="ARE21" s="64"/>
      <c r="ARF21" s="33"/>
      <c r="ARG21" s="132"/>
      <c r="ARH21" s="33"/>
      <c r="ARI21" s="33"/>
      <c r="ARJ21" s="33"/>
      <c r="ARK21" s="33"/>
      <c r="ARL21" s="33"/>
      <c r="ARM21" s="137"/>
      <c r="ARN21" s="33"/>
      <c r="ARO21" s="167"/>
      <c r="ARP21" s="167"/>
      <c r="ARQ21" s="167"/>
      <c r="ARR21" s="33"/>
      <c r="ARS21" s="74"/>
      <c r="ART21" s="33"/>
      <c r="ARU21" s="33"/>
      <c r="ARV21" s="33"/>
      <c r="ARW21" s="33"/>
      <c r="ARX21" s="33"/>
      <c r="ARY21" s="137"/>
      <c r="ARZ21" s="33"/>
      <c r="ASA21" s="33"/>
      <c r="ASB21" s="33"/>
      <c r="ASC21" s="33"/>
      <c r="ASD21" s="33"/>
      <c r="ASE21" s="74"/>
      <c r="ASF21" s="64"/>
      <c r="ASG21" s="64"/>
      <c r="ASH21" s="64"/>
      <c r="ASI21" s="64"/>
      <c r="ASJ21" s="33"/>
      <c r="ASK21" s="137"/>
      <c r="ASL21" s="33"/>
      <c r="ASM21" s="33"/>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32"/>
      <c r="ATK21" s="64"/>
      <c r="ATL21" s="64"/>
      <c r="ATM21" s="64"/>
      <c r="ATN21" s="33"/>
      <c r="ATO21" s="132"/>
      <c r="ATP21" s="33"/>
      <c r="ATQ21" s="33"/>
      <c r="ATR21" s="33"/>
      <c r="ATS21" s="33"/>
      <c r="ATT21" s="33"/>
      <c r="ATU21" s="137"/>
      <c r="ATV21" s="33"/>
      <c r="ATW21" s="33"/>
      <c r="ATX21" s="33"/>
      <c r="ATY21" s="33"/>
      <c r="ATZ21" s="33"/>
      <c r="AUA21" s="74"/>
      <c r="AUB21" s="167"/>
      <c r="AUC21" s="167"/>
      <c r="AUD21" s="167"/>
      <c r="AUE21" s="33"/>
      <c r="AUF21" s="33"/>
      <c r="AUG21" s="137"/>
      <c r="AUH21" s="33"/>
      <c r="AUI21" s="33"/>
      <c r="AUJ21" s="33"/>
      <c r="AUK21" s="33"/>
      <c r="AUL21" s="33"/>
      <c r="AUM21" s="74"/>
      <c r="AUN21" s="64"/>
      <c r="AUO21" s="64"/>
      <c r="AUP21" s="64"/>
      <c r="AUQ21" s="64"/>
      <c r="AUR21" s="33"/>
      <c r="AUS21" s="137"/>
      <c r="AUT21" s="33"/>
      <c r="AUU21" s="33"/>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32"/>
      <c r="AVS21" s="64"/>
      <c r="AVT21" s="64"/>
      <c r="AVU21" s="64"/>
      <c r="AVV21" s="33"/>
      <c r="AVW21" s="132"/>
      <c r="AVX21" s="33"/>
      <c r="AVY21" s="33"/>
      <c r="AVZ21" s="33"/>
      <c r="AWA21" s="33"/>
      <c r="AWB21" s="33"/>
      <c r="AWC21" s="137"/>
      <c r="AWD21" s="33"/>
      <c r="AWE21" s="33"/>
      <c r="AWF21" s="33"/>
      <c r="AWG21" s="33"/>
      <c r="AWH21" s="33"/>
      <c r="AWI21" s="74"/>
      <c r="AWJ21" s="33"/>
      <c r="AWK21" s="33"/>
      <c r="AWL21" s="33"/>
      <c r="AWM21" s="33"/>
      <c r="AWN21" s="33"/>
      <c r="AWO21" s="137"/>
      <c r="AWP21" s="33"/>
      <c r="AWQ21" s="33"/>
      <c r="AWR21" s="33"/>
      <c r="AWS21" s="33"/>
      <c r="AWT21" s="33"/>
      <c r="AWU21" s="74"/>
      <c r="AWV21" s="64"/>
      <c r="AWW21" s="64"/>
      <c r="AWX21" s="64"/>
      <c r="AWY21" s="64"/>
      <c r="AWZ21" s="33"/>
      <c r="AXA21" s="181"/>
      <c r="AXB21" s="167"/>
      <c r="AXC21" s="167"/>
      <c r="AXD21" s="33"/>
      <c r="AXE21" s="33"/>
      <c r="AXF21" s="33"/>
      <c r="AXG21" s="74"/>
      <c r="AXH21" s="33"/>
      <c r="AXI21" s="33"/>
      <c r="AXJ21" s="33"/>
      <c r="AXK21" s="33"/>
      <c r="AXL21" s="33"/>
      <c r="AXM21" s="137"/>
      <c r="AXN21" s="33"/>
      <c r="AXO21" s="33"/>
      <c r="AXP21" s="33"/>
      <c r="AXQ21" s="33"/>
      <c r="AXR21" s="33"/>
      <c r="AXS21" s="74"/>
      <c r="AXT21" s="33"/>
      <c r="AXU21" s="33"/>
      <c r="AXV21" s="33"/>
      <c r="AXW21" s="33"/>
      <c r="AXX21" s="33"/>
      <c r="AXY21" s="34"/>
      <c r="AXZ21" s="32"/>
      <c r="AYA21" s="64"/>
      <c r="AYB21" s="64"/>
      <c r="AYC21" s="64"/>
      <c r="AYD21" s="33"/>
      <c r="AYE21" s="132"/>
      <c r="AYF21" s="33"/>
      <c r="AYG21" s="33"/>
      <c r="AYH21" s="33"/>
      <c r="AYI21" s="33"/>
      <c r="AYJ21" s="33"/>
      <c r="AYK21" s="137"/>
      <c r="AYL21" s="33"/>
      <c r="AYM21" s="33"/>
      <c r="AYN21" s="33"/>
      <c r="AYO21" s="33"/>
      <c r="AYP21" s="33"/>
      <c r="AYQ21" s="74"/>
      <c r="AYR21" s="167"/>
      <c r="AYS21" s="167"/>
      <c r="AYT21" s="167"/>
      <c r="AYU21" s="33"/>
      <c r="AYV21" s="33"/>
      <c r="AYW21" s="137"/>
      <c r="AYX21" s="33"/>
      <c r="AYY21" s="33"/>
      <c r="AYZ21" s="33"/>
      <c r="AZA21" s="33"/>
      <c r="AZB21" s="33"/>
      <c r="AZC21" s="74"/>
      <c r="AZD21" s="64"/>
      <c r="AZE21" s="64"/>
      <c r="AZF21" s="64"/>
      <c r="AZG21" s="64"/>
      <c r="AZH21" s="33"/>
      <c r="AZI21" s="137"/>
      <c r="AZJ21" s="33"/>
      <c r="AZK21" s="33"/>
      <c r="AZL21" s="33"/>
      <c r="AZM21" s="33"/>
      <c r="AZN21" s="33"/>
      <c r="AZO21" s="74"/>
      <c r="AZP21" s="33"/>
      <c r="AZQ21" s="33"/>
      <c r="AZR21" s="33"/>
      <c r="AZS21" s="33"/>
      <c r="AZT21" s="33"/>
      <c r="AZU21" s="137"/>
      <c r="AZV21" s="33"/>
      <c r="AZW21" s="33"/>
      <c r="AZX21" s="33"/>
      <c r="AZY21" s="33"/>
      <c r="AZZ21" s="33"/>
      <c r="BAA21" s="74"/>
      <c r="BAB21" s="33"/>
      <c r="BAC21" s="33"/>
      <c r="BAD21" s="33"/>
      <c r="BAE21" s="33"/>
      <c r="BAF21" s="33"/>
      <c r="BAG21" s="34"/>
      <c r="BAH21" s="32"/>
      <c r="BAI21" s="64"/>
      <c r="BAJ21" s="64"/>
      <c r="BAK21" s="64"/>
      <c r="BAL21" s="33"/>
      <c r="BAM21" s="132"/>
      <c r="BAN21" s="33"/>
      <c r="BAO21" s="33"/>
      <c r="BAP21" s="33"/>
      <c r="BAQ21" s="33"/>
      <c r="BAR21" s="33"/>
      <c r="BAS21" s="137"/>
      <c r="BAT21" s="33"/>
      <c r="BAU21" s="33"/>
      <c r="BAV21" s="33"/>
      <c r="BAW21" s="33"/>
      <c r="BAX21" s="33"/>
      <c r="BAY21" s="74"/>
      <c r="BAZ21" s="33"/>
      <c r="BBA21" s="33"/>
      <c r="BBB21" s="33"/>
      <c r="BBC21" s="33"/>
      <c r="BBD21" s="33"/>
      <c r="BBE21" s="137"/>
      <c r="BBF21" s="33"/>
      <c r="BBG21" s="33"/>
      <c r="BBH21" s="33"/>
      <c r="BBI21" s="33"/>
      <c r="BBJ21" s="33"/>
      <c r="BBK21" s="74"/>
      <c r="BBL21" s="64"/>
      <c r="BBM21" s="64"/>
      <c r="BBN21" s="64"/>
      <c r="BBO21" s="64"/>
      <c r="BBP21" s="33"/>
      <c r="BBQ21" s="181"/>
      <c r="BBR21" s="167"/>
      <c r="BBS21" s="167"/>
      <c r="BBT21" s="33"/>
      <c r="BBU21" s="33"/>
      <c r="BBV21" s="33"/>
      <c r="BBW21" s="74"/>
      <c r="BBX21" s="33"/>
      <c r="BBY21" s="33"/>
      <c r="BBZ21" s="33"/>
      <c r="BCA21" s="33"/>
      <c r="BCB21" s="33"/>
      <c r="BCC21" s="137"/>
      <c r="BCD21" s="33"/>
      <c r="BCE21" s="33"/>
      <c r="BCF21" s="33"/>
      <c r="BCG21" s="33"/>
      <c r="BCH21" s="33"/>
      <c r="BCI21" s="74"/>
      <c r="BCJ21" s="33"/>
      <c r="BCK21" s="33"/>
      <c r="BCL21" s="33"/>
      <c r="BCM21" s="33"/>
      <c r="BCN21" s="33"/>
      <c r="BCO21" s="34"/>
      <c r="BCP21" s="32"/>
      <c r="BCQ21" s="64"/>
      <c r="BCR21" s="64"/>
      <c r="BCS21" s="64"/>
      <c r="BCT21" s="33"/>
      <c r="BCU21" s="132"/>
      <c r="BCV21" s="33"/>
      <c r="BCW21" s="33"/>
      <c r="BCX21" s="33"/>
      <c r="BCY21" s="33"/>
      <c r="BCZ21" s="33"/>
      <c r="BDA21" s="137"/>
      <c r="BDB21" s="33"/>
      <c r="BDC21" s="33"/>
      <c r="BDD21" s="33"/>
      <c r="BDE21" s="167"/>
      <c r="BDF21" s="167"/>
      <c r="BDG21" s="182"/>
      <c r="BDH21" s="33"/>
      <c r="BDI21" s="33"/>
      <c r="BDJ21" s="33"/>
      <c r="BDK21" s="33"/>
      <c r="BDL21" s="33"/>
      <c r="BDM21" s="137"/>
      <c r="BDN21" s="33"/>
      <c r="BDO21" s="33"/>
      <c r="BDP21" s="33"/>
      <c r="BDQ21" s="33"/>
      <c r="BDR21" s="33"/>
      <c r="BDS21" s="74"/>
      <c r="BDT21" s="64"/>
      <c r="BDU21" s="64"/>
      <c r="BDV21" s="64"/>
      <c r="BDW21" s="64"/>
      <c r="BDX21" s="33"/>
      <c r="BDY21" s="137"/>
      <c r="BDZ21" s="33"/>
      <c r="BEA21" s="33"/>
      <c r="BEB21" s="33"/>
      <c r="BEC21" s="33"/>
      <c r="BED21" s="33"/>
      <c r="BEE21" s="74"/>
      <c r="BEF21" s="33"/>
      <c r="BEG21" s="33"/>
      <c r="BEH21" s="33"/>
      <c r="BEI21" s="33"/>
      <c r="BEJ21" s="33"/>
      <c r="BEK21" s="137"/>
      <c r="BEL21" s="33"/>
      <c r="BEM21" s="33"/>
      <c r="BEN21" s="33"/>
      <c r="BEO21" s="33"/>
      <c r="BEP21" s="33"/>
      <c r="BEQ21" s="74"/>
      <c r="BER21" s="33"/>
      <c r="BES21" s="33"/>
      <c r="BET21" s="33"/>
      <c r="BEU21" s="33"/>
      <c r="BEV21" s="33"/>
      <c r="BEW21" s="34"/>
      <c r="BEX21" s="165"/>
      <c r="BEY21" s="166"/>
      <c r="BEZ21" s="166"/>
      <c r="BFA21" s="166"/>
      <c r="BFB21" s="167"/>
      <c r="BFC21" s="168"/>
      <c r="BFD21" s="167"/>
      <c r="BFE21" s="167"/>
      <c r="BFF21" s="167"/>
      <c r="BFG21" s="167"/>
      <c r="BFH21" s="167"/>
      <c r="BFI21" s="181"/>
      <c r="BFJ21" s="167"/>
      <c r="BFK21" s="33"/>
      <c r="BFL21" s="33"/>
      <c r="BFM21" s="33"/>
      <c r="BFN21" s="33"/>
      <c r="BFO21" s="74"/>
      <c r="BFP21" s="33"/>
      <c r="BFQ21" s="167"/>
      <c r="BFR21" s="167"/>
      <c r="BFS21" s="167"/>
      <c r="BFT21" s="33"/>
      <c r="BFU21" s="137"/>
      <c r="BFV21" s="33"/>
      <c r="BFW21" s="33"/>
      <c r="BFX21" s="33"/>
      <c r="BFY21" s="33"/>
      <c r="BFZ21" s="33"/>
      <c r="BGA21" s="74"/>
      <c r="BGB21" s="64"/>
      <c r="BGC21" s="64"/>
      <c r="BGD21" s="64"/>
      <c r="BGE21" s="64"/>
      <c r="BGF21" s="33"/>
      <c r="BGG21" s="137"/>
      <c r="BGH21" s="33"/>
      <c r="BGI21" s="33"/>
      <c r="BGJ21" s="33"/>
      <c r="BGK21" s="33"/>
      <c r="BGL21" s="33"/>
      <c r="BGM21" s="74"/>
      <c r="BGN21" s="33"/>
      <c r="BGO21" s="33"/>
      <c r="BGP21" s="33"/>
      <c r="BGQ21" s="33"/>
      <c r="BGR21" s="33"/>
      <c r="BGS21" s="137"/>
      <c r="BGT21" s="33"/>
      <c r="BGU21" s="33"/>
      <c r="BGV21" s="33"/>
      <c r="BGW21" s="33"/>
      <c r="BGX21" s="33"/>
      <c r="BGY21" s="74"/>
      <c r="BGZ21" s="33"/>
      <c r="BHA21" s="33"/>
      <c r="BHB21" s="33"/>
      <c r="BHC21" s="33"/>
      <c r="BHD21" s="33"/>
      <c r="BHE21" s="34"/>
      <c r="BHF21" s="32"/>
      <c r="BHG21" s="64"/>
      <c r="BHH21" s="64"/>
      <c r="BHI21" s="64"/>
      <c r="BHJ21" s="33"/>
      <c r="BHK21" s="132"/>
      <c r="BHL21" s="33"/>
      <c r="BHM21" s="33"/>
      <c r="BHN21" s="33"/>
      <c r="BHO21" s="33"/>
      <c r="BHP21" s="33"/>
      <c r="BHQ21" s="137"/>
      <c r="BHR21" s="167"/>
      <c r="BHS21" s="167"/>
      <c r="BHT21" s="167"/>
      <c r="BHU21" s="33"/>
      <c r="BHV21" s="33"/>
      <c r="BHW21" s="74"/>
      <c r="BHX21" s="33"/>
      <c r="BHY21" s="33"/>
      <c r="BHZ21" s="33"/>
      <c r="BIA21" s="33"/>
      <c r="BIB21" s="33"/>
      <c r="BIC21" s="137"/>
      <c r="BID21" s="33"/>
      <c r="BIE21" s="33"/>
      <c r="BIF21" s="33"/>
      <c r="BIG21" s="33"/>
      <c r="BIH21" s="33"/>
      <c r="BII21" s="74"/>
      <c r="BIJ21" s="64"/>
      <c r="BIK21" s="64"/>
      <c r="BIL21" s="64"/>
      <c r="BIM21" s="64"/>
      <c r="BIN21" s="33"/>
      <c r="BIO21" s="137"/>
      <c r="BIP21" s="33"/>
      <c r="BIQ21" s="33"/>
      <c r="BIR21" s="33"/>
      <c r="BIS21" s="33"/>
      <c r="BIT21" s="33"/>
      <c r="BIU21" s="74"/>
      <c r="BIV21" s="33"/>
      <c r="BIW21" s="33"/>
      <c r="BIX21" s="33"/>
      <c r="BIY21" s="33"/>
      <c r="BIZ21" s="33"/>
      <c r="BJA21" s="137"/>
      <c r="BJB21" s="33"/>
      <c r="BJC21" s="33"/>
      <c r="BJD21" s="33"/>
      <c r="BJE21" s="33"/>
      <c r="BJF21" s="33"/>
      <c r="BJG21" s="74"/>
      <c r="BJH21" s="33"/>
      <c r="BJI21" s="33"/>
      <c r="BJJ21" s="33"/>
      <c r="BJK21" s="33"/>
      <c r="BJL21" s="33"/>
      <c r="BJM21" s="34"/>
      <c r="BJN21" s="32"/>
      <c r="BJO21" s="64"/>
      <c r="BJP21" s="64"/>
      <c r="BJQ21" s="64"/>
      <c r="BJR21" s="33"/>
      <c r="BJS21" s="132"/>
      <c r="BJT21" s="33"/>
      <c r="BJU21" s="33"/>
      <c r="BJV21" s="33"/>
      <c r="BJW21" s="33"/>
      <c r="BJX21" s="33"/>
      <c r="BJY21" s="137"/>
      <c r="BJZ21" s="33"/>
      <c r="BKA21" s="33"/>
      <c r="BKB21" s="33"/>
      <c r="BKC21" s="33"/>
      <c r="BKD21" s="33"/>
      <c r="BKE21" s="74"/>
      <c r="BKF21" s="33"/>
      <c r="BKG21" s="167"/>
      <c r="BKH21" s="167"/>
      <c r="BKI21" s="167"/>
      <c r="BKJ21" s="33"/>
      <c r="BKK21" s="137"/>
      <c r="BKL21" s="33"/>
      <c r="BKM21" s="33"/>
      <c r="BKN21" s="33"/>
      <c r="BKO21" s="33"/>
      <c r="BKP21" s="33"/>
      <c r="BKQ21" s="74"/>
      <c r="BKR21" s="64"/>
      <c r="BKS21" s="64"/>
      <c r="BKT21" s="64"/>
      <c r="BKU21" s="64"/>
      <c r="BKV21" s="33"/>
      <c r="BKW21" s="137"/>
      <c r="BKX21" s="33"/>
      <c r="BKY21" s="33"/>
      <c r="BKZ21" s="33"/>
      <c r="BLA21" s="33"/>
      <c r="BLB21" s="33"/>
      <c r="BLC21" s="74"/>
      <c r="BLD21" s="33"/>
      <c r="BLE21" s="33"/>
      <c r="BLF21" s="33"/>
      <c r="BLG21" s="33"/>
      <c r="BLH21" s="33"/>
      <c r="BLI21" s="137"/>
      <c r="BLJ21" s="33"/>
      <c r="BLK21" s="33"/>
      <c r="BLL21" s="33"/>
      <c r="BLM21" s="33"/>
      <c r="BLN21" s="33"/>
      <c r="BLO21" s="74"/>
      <c r="BLP21" s="33"/>
      <c r="BLQ21" s="33"/>
      <c r="BLR21" s="33"/>
      <c r="BLS21" s="33"/>
      <c r="BLT21" s="33"/>
      <c r="BLU21" s="34"/>
      <c r="BLV21" s="90"/>
    </row>
    <row r="22" spans="1:1686" ht="20.100000000000001" customHeight="1" x14ac:dyDescent="0.25">
      <c r="A22" s="100" t="s">
        <v>18</v>
      </c>
      <c r="B22" s="63" t="str">
        <f>IF(LEN(C29)=0,"",C29)</f>
        <v>Conception - Stratégie de tests</v>
      </c>
      <c r="C22" s="207"/>
      <c r="D22" s="147" t="str">
        <f t="shared" si="0"/>
        <v>0h</v>
      </c>
      <c r="E22" s="35">
        <v>0</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37"/>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37"/>
      <c r="CH22" s="37"/>
      <c r="CI22" s="37"/>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37"/>
      <c r="DH22" s="37"/>
      <c r="DI22" s="13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38"/>
      <c r="HN22" s="37"/>
      <c r="HO22" s="37"/>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138"/>
      <c r="JV22" s="37"/>
      <c r="JW22" s="37"/>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37"/>
      <c r="LE22" s="138"/>
      <c r="LF22" s="37"/>
      <c r="LG22" s="37"/>
      <c r="LH22" s="37"/>
      <c r="LI22" s="37"/>
      <c r="LJ22" s="37"/>
      <c r="LK22" s="75"/>
      <c r="LL22" s="37"/>
      <c r="LM22" s="37"/>
      <c r="LN22" s="37"/>
      <c r="LO22" s="37"/>
      <c r="LP22" s="37"/>
      <c r="LQ22" s="138"/>
      <c r="LR22" s="37"/>
      <c r="LS22" s="37"/>
      <c r="LT22" s="37"/>
      <c r="LU22" s="37"/>
      <c r="LV22" s="37"/>
      <c r="LW22" s="75"/>
      <c r="LX22" s="65"/>
      <c r="LY22" s="65"/>
      <c r="LZ22" s="65"/>
      <c r="MA22" s="65"/>
      <c r="MB22" s="37"/>
      <c r="MC22" s="138"/>
      <c r="MD22" s="37"/>
      <c r="ME22" s="37"/>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37"/>
      <c r="OE22" s="75"/>
      <c r="OF22" s="65"/>
      <c r="OG22" s="65"/>
      <c r="OH22" s="65"/>
      <c r="OI22" s="65"/>
      <c r="OJ22" s="37"/>
      <c r="OK22" s="138"/>
      <c r="OL22" s="37"/>
      <c r="OM22" s="37"/>
      <c r="ON22" s="37"/>
      <c r="OO22" s="37"/>
      <c r="OP22" s="37"/>
      <c r="OQ22" s="75"/>
      <c r="OR22" s="37"/>
      <c r="OS22" s="37"/>
      <c r="OT22" s="37"/>
      <c r="OU22" s="37"/>
      <c r="OV22" s="37"/>
      <c r="OW22" s="138"/>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138"/>
      <c r="QT22" s="37"/>
      <c r="QU22" s="37"/>
      <c r="QV22" s="37"/>
      <c r="QW22" s="37"/>
      <c r="QX22" s="37"/>
      <c r="QY22" s="75"/>
      <c r="QZ22" s="37"/>
      <c r="RA22" s="37"/>
      <c r="RB22" s="37"/>
      <c r="RC22" s="37"/>
      <c r="RD22" s="37"/>
      <c r="RE22" s="138"/>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37"/>
      <c r="SN22" s="37"/>
      <c r="SO22" s="138"/>
      <c r="SP22" s="37"/>
      <c r="SQ22" s="37"/>
      <c r="SR22" s="37"/>
      <c r="SS22" s="37"/>
      <c r="ST22" s="37"/>
      <c r="SU22" s="75"/>
      <c r="SV22" s="65"/>
      <c r="SW22" s="65"/>
      <c r="SX22" s="65"/>
      <c r="SY22" s="65"/>
      <c r="SZ22" s="37"/>
      <c r="TA22" s="138"/>
      <c r="TB22" s="37"/>
      <c r="TC22" s="37"/>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37"/>
      <c r="VK22" s="37"/>
      <c r="VL22" s="37"/>
      <c r="VM22" s="37"/>
      <c r="VN22" s="37"/>
      <c r="VO22" s="75"/>
      <c r="VP22" s="37"/>
      <c r="VQ22" s="37"/>
      <c r="VR22" s="37"/>
      <c r="VS22" s="37"/>
      <c r="VT22" s="37"/>
      <c r="VU22" s="13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37"/>
      <c r="XS22" s="37"/>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37"/>
      <c r="AAK22" s="13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37"/>
      <c r="ACI22" s="37"/>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38"/>
      <c r="AEP22" s="37"/>
      <c r="AEQ22" s="37"/>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65"/>
      <c r="AGU22" s="65"/>
      <c r="AGV22" s="37"/>
      <c r="AGW22" s="138"/>
      <c r="AGX22" s="37"/>
      <c r="AGY22" s="37"/>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37"/>
      <c r="AJP22" s="37"/>
      <c r="AJQ22" s="138"/>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65"/>
      <c r="ALL22" s="37"/>
      <c r="ALM22" s="138"/>
      <c r="ALN22" s="37"/>
      <c r="ALO22" s="37"/>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37"/>
      <c r="ANW22" s="37"/>
      <c r="ANX22" s="37"/>
      <c r="ANY22" s="37"/>
      <c r="ANZ22" s="37"/>
      <c r="AOA22" s="75"/>
      <c r="AOB22" s="37"/>
      <c r="AOC22" s="37"/>
      <c r="AOD22" s="37"/>
      <c r="AOE22" s="37"/>
      <c r="AOF22" s="37"/>
      <c r="AOG22" s="138"/>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37"/>
      <c r="AQC22" s="138"/>
      <c r="AQD22" s="37"/>
      <c r="AQE22" s="37"/>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37"/>
      <c r="ASC22" s="37"/>
      <c r="ASD22" s="37"/>
      <c r="ASE22" s="75"/>
      <c r="ASF22" s="65"/>
      <c r="ASG22" s="65"/>
      <c r="ASH22" s="65"/>
      <c r="ASI22" s="65"/>
      <c r="ASJ22" s="37"/>
      <c r="ASK22" s="138"/>
      <c r="ASL22" s="37"/>
      <c r="ASM22" s="37"/>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37"/>
      <c r="AUU22" s="37"/>
      <c r="AUV22" s="37"/>
      <c r="AUW22" s="37"/>
      <c r="AUX22" s="37"/>
      <c r="AUY22" s="75"/>
      <c r="AUZ22" s="37"/>
      <c r="AVA22" s="37"/>
      <c r="AVB22" s="37"/>
      <c r="AVC22" s="37"/>
      <c r="AVD22" s="37"/>
      <c r="AVE22" s="138"/>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37"/>
      <c r="AXC22" s="37"/>
      <c r="AXD22" s="37"/>
      <c r="AXE22" s="37"/>
      <c r="AXF22" s="37"/>
      <c r="AXG22" s="75"/>
      <c r="AXH22" s="37"/>
      <c r="AXI22" s="37"/>
      <c r="AXJ22" s="37"/>
      <c r="AXK22" s="37"/>
      <c r="AXL22" s="37"/>
      <c r="AXM22" s="138"/>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138"/>
      <c r="AZJ22" s="37"/>
      <c r="AZK22" s="37"/>
      <c r="AZL22" s="37"/>
      <c r="AZM22" s="37"/>
      <c r="AZN22" s="37"/>
      <c r="AZO22" s="75"/>
      <c r="AZP22" s="37"/>
      <c r="AZQ22" s="37"/>
      <c r="AZR22" s="37"/>
      <c r="AZS22" s="37"/>
      <c r="AZT22" s="37"/>
      <c r="AZU22" s="138"/>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37"/>
      <c r="BBS22" s="37"/>
      <c r="BBT22" s="37"/>
      <c r="BBU22" s="37"/>
      <c r="BBV22" s="37"/>
      <c r="BBW22" s="75"/>
      <c r="BBX22" s="37"/>
      <c r="BBY22" s="37"/>
      <c r="BBZ22" s="37"/>
      <c r="BCA22" s="37"/>
      <c r="BCB22" s="37"/>
      <c r="BCC22" s="13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37"/>
      <c r="BEA22" s="37"/>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65"/>
      <c r="BGC22" s="65"/>
      <c r="BGD22" s="65"/>
      <c r="BGE22" s="65"/>
      <c r="BGF22" s="37"/>
      <c r="BGG22" s="138"/>
      <c r="BGH22" s="37"/>
      <c r="BGI22" s="37"/>
      <c r="BGJ22" s="37"/>
      <c r="BGK22" s="37"/>
      <c r="BGL22" s="37"/>
      <c r="BGM22" s="75"/>
      <c r="BGN22" s="37"/>
      <c r="BGO22" s="37"/>
      <c r="BGP22" s="37"/>
      <c r="BGQ22" s="37"/>
      <c r="BGR22" s="37"/>
      <c r="BGS22" s="138"/>
      <c r="BGT22" s="37"/>
      <c r="BGU22" s="37"/>
      <c r="BGV22" s="37"/>
      <c r="BGW22" s="37"/>
      <c r="BGX22" s="37"/>
      <c r="BGY22" s="75"/>
      <c r="BGZ22" s="37"/>
      <c r="BHA22" s="37"/>
      <c r="BHB22" s="37"/>
      <c r="BHC22" s="37"/>
      <c r="BHD22" s="37"/>
      <c r="BHE22" s="38"/>
      <c r="BHF22" s="36"/>
      <c r="BHG22" s="65"/>
      <c r="BHH22" s="65"/>
      <c r="BHI22" s="65"/>
      <c r="BHJ22" s="37"/>
      <c r="BHK22" s="133"/>
      <c r="BHL22" s="37"/>
      <c r="BHM22" s="37"/>
      <c r="BHN22" s="37"/>
      <c r="BHO22" s="37"/>
      <c r="BHP22" s="37"/>
      <c r="BHQ22" s="138"/>
      <c r="BHR22" s="37"/>
      <c r="BHS22" s="37"/>
      <c r="BHT22" s="37"/>
      <c r="BHU22" s="37"/>
      <c r="BHV22" s="37"/>
      <c r="BHW22" s="75"/>
      <c r="BHX22" s="37"/>
      <c r="BHY22" s="37"/>
      <c r="BHZ22" s="37"/>
      <c r="BIA22" s="37"/>
      <c r="BIB22" s="37"/>
      <c r="BIC22" s="138"/>
      <c r="BID22" s="37"/>
      <c r="BIE22" s="37"/>
      <c r="BIF22" s="37"/>
      <c r="BIG22" s="37"/>
      <c r="BIH22" s="37"/>
      <c r="BII22" s="75"/>
      <c r="BIJ22" s="65"/>
      <c r="BIK22" s="65"/>
      <c r="BIL22" s="65"/>
      <c r="BIM22" s="65"/>
      <c r="BIN22" s="37"/>
      <c r="BIO22" s="138"/>
      <c r="BIP22" s="37"/>
      <c r="BIQ22" s="37"/>
      <c r="BIR22" s="37"/>
      <c r="BIS22" s="37"/>
      <c r="BIT22" s="37"/>
      <c r="BIU22" s="75"/>
      <c r="BIV22" s="37"/>
      <c r="BIW22" s="37"/>
      <c r="BIX22" s="37"/>
      <c r="BIY22" s="37"/>
      <c r="BIZ22" s="37"/>
      <c r="BJA22" s="138"/>
      <c r="BJB22" s="37"/>
      <c r="BJC22" s="37"/>
      <c r="BJD22" s="37"/>
      <c r="BJE22" s="37"/>
      <c r="BJF22" s="37"/>
      <c r="BJG22" s="75"/>
      <c r="BJH22" s="37"/>
      <c r="BJI22" s="37"/>
      <c r="BJJ22" s="37"/>
      <c r="BJK22" s="37"/>
      <c r="BJL22" s="37"/>
      <c r="BJM22" s="38"/>
      <c r="BJN22" s="36"/>
      <c r="BJO22" s="65"/>
      <c r="BJP22" s="65"/>
      <c r="BJQ22" s="65"/>
      <c r="BJR22" s="37"/>
      <c r="BJS22" s="133"/>
      <c r="BJT22" s="37"/>
      <c r="BJU22" s="37"/>
      <c r="BJV22" s="37"/>
      <c r="BJW22" s="37"/>
      <c r="BJX22" s="37"/>
      <c r="BJY22" s="138"/>
      <c r="BJZ22" s="37"/>
      <c r="BKA22" s="37"/>
      <c r="BKB22" s="37"/>
      <c r="BKC22" s="37"/>
      <c r="BKD22" s="37"/>
      <c r="BKE22" s="75"/>
      <c r="BKF22" s="37"/>
      <c r="BKG22" s="37"/>
      <c r="BKH22" s="37"/>
      <c r="BKI22" s="37"/>
      <c r="BKJ22" s="37"/>
      <c r="BKK22" s="138"/>
      <c r="BKL22" s="37"/>
      <c r="BKM22" s="37"/>
      <c r="BKN22" s="37"/>
      <c r="BKO22" s="37"/>
      <c r="BKP22" s="37"/>
      <c r="BKQ22" s="75"/>
      <c r="BKR22" s="65"/>
      <c r="BKS22" s="65"/>
      <c r="BKT22" s="65"/>
      <c r="BKU22" s="65"/>
      <c r="BKV22" s="37"/>
      <c r="BKW22" s="138"/>
      <c r="BKX22" s="37"/>
      <c r="BKY22" s="37"/>
      <c r="BKZ22" s="37"/>
      <c r="BLA22" s="37"/>
      <c r="BLB22" s="37"/>
      <c r="BLC22" s="75"/>
      <c r="BLD22" s="37"/>
      <c r="BLE22" s="37"/>
      <c r="BLF22" s="37"/>
      <c r="BLG22" s="37"/>
      <c r="BLH22" s="37"/>
      <c r="BLI22" s="138"/>
      <c r="BLJ22" s="37"/>
      <c r="BLK22" s="37"/>
      <c r="BLL22" s="37"/>
      <c r="BLM22" s="37"/>
      <c r="BLN22" s="37"/>
      <c r="BLO22" s="75"/>
      <c r="BLP22" s="37"/>
      <c r="BLQ22" s="37"/>
      <c r="BLR22" s="37"/>
      <c r="BLS22" s="37"/>
      <c r="BLT22" s="37"/>
      <c r="BLU22" s="38"/>
      <c r="BLV22" s="90"/>
    </row>
    <row r="23" spans="1:1686" ht="20.100000000000001" customHeight="1" x14ac:dyDescent="0.25">
      <c r="A23" s="100" t="s">
        <v>17</v>
      </c>
      <c r="B23" s="63" t="str">
        <f>IF(LEN(C31)=0,"",C31)</f>
        <v>Réalisation - Frontend</v>
      </c>
      <c r="C23" s="205" t="s">
        <v>13</v>
      </c>
      <c r="D23" s="146" t="str">
        <f t="shared" si="0"/>
        <v>18h30min</v>
      </c>
      <c r="E23" s="39">
        <v>222</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177"/>
      <c r="EX23" s="177"/>
      <c r="EY23" s="180"/>
      <c r="EZ23" s="176"/>
      <c r="FA23" s="176"/>
      <c r="FB23" s="176"/>
      <c r="FC23" s="176"/>
      <c r="FD23" s="41"/>
      <c r="FE23" s="13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180"/>
      <c r="HH23" s="176"/>
      <c r="HI23" s="176"/>
      <c r="HJ23" s="176"/>
      <c r="HK23" s="176"/>
      <c r="HL23" s="177"/>
      <c r="HM23" s="139"/>
      <c r="HN23" s="41"/>
      <c r="HO23" s="41"/>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177"/>
      <c r="JA23" s="177"/>
      <c r="JB23" s="177"/>
      <c r="JC23" s="180"/>
      <c r="JD23" s="177"/>
      <c r="JE23" s="177"/>
      <c r="JF23" s="177"/>
      <c r="JG23" s="177"/>
      <c r="JH23" s="177"/>
      <c r="JI23" s="179"/>
      <c r="JJ23" s="177"/>
      <c r="JK23" s="177"/>
      <c r="JL23" s="177"/>
      <c r="JM23" s="177"/>
      <c r="JN23" s="177"/>
      <c r="JO23" s="180"/>
      <c r="JP23" s="176"/>
      <c r="JQ23" s="176"/>
      <c r="JR23" s="176"/>
      <c r="JS23" s="176"/>
      <c r="JT23" s="177"/>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177"/>
      <c r="LI23" s="177"/>
      <c r="LJ23" s="177"/>
      <c r="LK23" s="180"/>
      <c r="LL23" s="177"/>
      <c r="LM23" s="177"/>
      <c r="LN23" s="41"/>
      <c r="LO23" s="41"/>
      <c r="LP23" s="41"/>
      <c r="LQ23" s="139"/>
      <c r="LR23" s="41"/>
      <c r="LS23" s="41"/>
      <c r="LT23" s="41"/>
      <c r="LU23" s="41"/>
      <c r="LV23" s="41"/>
      <c r="LW23" s="76"/>
      <c r="LX23" s="66"/>
      <c r="LY23" s="66"/>
      <c r="LZ23" s="66"/>
      <c r="MA23" s="66"/>
      <c r="MB23" s="41"/>
      <c r="MC23" s="139"/>
      <c r="MD23" s="41"/>
      <c r="ME23" s="41"/>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66"/>
      <c r="NE23" s="66"/>
      <c r="NF23" s="41"/>
      <c r="NG23" s="134"/>
      <c r="NH23" s="41"/>
      <c r="NI23" s="41"/>
      <c r="NJ23" s="41"/>
      <c r="NK23" s="41"/>
      <c r="NL23" s="177"/>
      <c r="NM23" s="179"/>
      <c r="NN23" s="177"/>
      <c r="NO23" s="177"/>
      <c r="NP23" s="177"/>
      <c r="NQ23" s="177"/>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41"/>
      <c r="OW23" s="139"/>
      <c r="OX23" s="41"/>
      <c r="OY23" s="41"/>
      <c r="OZ23" s="41"/>
      <c r="PA23" s="41"/>
      <c r="PB23" s="41"/>
      <c r="PC23" s="76"/>
      <c r="PD23" s="41"/>
      <c r="PE23" s="41"/>
      <c r="PF23" s="41"/>
      <c r="PG23" s="41"/>
      <c r="PH23" s="41"/>
      <c r="PI23" s="42"/>
      <c r="PJ23" s="40"/>
      <c r="PK23" s="66"/>
      <c r="PL23" s="66"/>
      <c r="PM23" s="66"/>
      <c r="PN23" s="41"/>
      <c r="PO23" s="134"/>
      <c r="PP23" s="41"/>
      <c r="PQ23" s="41"/>
      <c r="PR23" s="41"/>
      <c r="PS23" s="177"/>
      <c r="PT23" s="177"/>
      <c r="PU23" s="179"/>
      <c r="PV23" s="177"/>
      <c r="PW23" s="177"/>
      <c r="PX23" s="177"/>
      <c r="PY23" s="41"/>
      <c r="PZ23" s="41"/>
      <c r="QA23" s="76"/>
      <c r="QB23" s="41"/>
      <c r="QC23" s="41"/>
      <c r="QD23" s="41"/>
      <c r="QE23" s="41"/>
      <c r="QF23" s="41"/>
      <c r="QG23" s="139"/>
      <c r="QH23" s="41"/>
      <c r="QI23" s="41"/>
      <c r="QJ23" s="41"/>
      <c r="QK23" s="41"/>
      <c r="QL23" s="41"/>
      <c r="QM23" s="76"/>
      <c r="QN23" s="66"/>
      <c r="QO23" s="66"/>
      <c r="QP23" s="66"/>
      <c r="QQ23" s="66"/>
      <c r="QR23" s="41"/>
      <c r="QS23" s="139"/>
      <c r="QT23" s="41"/>
      <c r="QU23" s="41"/>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66"/>
      <c r="RU23" s="66"/>
      <c r="RV23" s="41"/>
      <c r="RW23" s="134"/>
      <c r="RX23" s="41"/>
      <c r="RY23" s="41"/>
      <c r="RZ23" s="41"/>
      <c r="SA23" s="41"/>
      <c r="SB23" s="41"/>
      <c r="SC23" s="139"/>
      <c r="SD23" s="41"/>
      <c r="SE23" s="41"/>
      <c r="SF23" s="41"/>
      <c r="SG23" s="41"/>
      <c r="SH23" s="41"/>
      <c r="SI23" s="180"/>
      <c r="SJ23" s="177"/>
      <c r="SK23" s="177"/>
      <c r="SL23" s="177"/>
      <c r="SM23" s="177"/>
      <c r="SN23" s="177"/>
      <c r="SO23" s="139"/>
      <c r="SP23" s="41"/>
      <c r="SQ23" s="41"/>
      <c r="SR23" s="41"/>
      <c r="SS23" s="41"/>
      <c r="ST23" s="41"/>
      <c r="SU23" s="76"/>
      <c r="SV23" s="66"/>
      <c r="SW23" s="66"/>
      <c r="SX23" s="66"/>
      <c r="SY23" s="66"/>
      <c r="SZ23" s="41"/>
      <c r="TA23" s="139"/>
      <c r="TB23" s="41"/>
      <c r="TC23" s="41"/>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177"/>
      <c r="UI23" s="177"/>
      <c r="UJ23" s="177"/>
      <c r="UK23" s="179"/>
      <c r="UL23" s="177"/>
      <c r="UM23" s="177"/>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41"/>
      <c r="VM23" s="41"/>
      <c r="VN23" s="41"/>
      <c r="VO23" s="76"/>
      <c r="VP23" s="41"/>
      <c r="VQ23" s="41"/>
      <c r="VR23" s="41"/>
      <c r="VS23" s="41"/>
      <c r="VT23" s="41"/>
      <c r="VU23" s="139"/>
      <c r="VV23" s="41"/>
      <c r="VW23" s="41"/>
      <c r="VX23" s="41"/>
      <c r="VY23" s="41"/>
      <c r="VZ23" s="41"/>
      <c r="WA23" s="76"/>
      <c r="WB23" s="41"/>
      <c r="WC23" s="41"/>
      <c r="WD23" s="41"/>
      <c r="WE23" s="41"/>
      <c r="WF23" s="41"/>
      <c r="WG23" s="42"/>
      <c r="WH23" s="40"/>
      <c r="WI23" s="66"/>
      <c r="WJ23" s="66"/>
      <c r="WK23" s="66"/>
      <c r="WL23" s="41"/>
      <c r="WM23" s="134"/>
      <c r="WN23" s="41"/>
      <c r="WO23" s="41"/>
      <c r="WP23" s="41"/>
      <c r="WQ23" s="41"/>
      <c r="WR23" s="41"/>
      <c r="WS23" s="139"/>
      <c r="WT23" s="177"/>
      <c r="WU23" s="177"/>
      <c r="WV23" s="177"/>
      <c r="WW23" s="177"/>
      <c r="WX23" s="177"/>
      <c r="WY23" s="180"/>
      <c r="WZ23" s="41"/>
      <c r="XA23" s="41"/>
      <c r="XB23" s="41"/>
      <c r="XC23" s="41"/>
      <c r="XD23" s="41"/>
      <c r="XE23" s="139"/>
      <c r="XF23" s="41"/>
      <c r="XG23" s="41"/>
      <c r="XH23" s="41"/>
      <c r="XI23" s="41"/>
      <c r="XJ23" s="41"/>
      <c r="XK23" s="76"/>
      <c r="XL23" s="66"/>
      <c r="XM23" s="66"/>
      <c r="XN23" s="66"/>
      <c r="XO23" s="66"/>
      <c r="XP23" s="41"/>
      <c r="XQ23" s="139"/>
      <c r="XR23" s="41"/>
      <c r="XS23" s="41"/>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177"/>
      <c r="YZ23" s="177"/>
      <c r="ZA23" s="179"/>
      <c r="ZB23" s="177"/>
      <c r="ZC23" s="177"/>
      <c r="ZD23" s="177"/>
      <c r="ZE23" s="41"/>
      <c r="ZF23" s="41"/>
      <c r="ZG23" s="76"/>
      <c r="ZH23" s="41"/>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41"/>
      <c r="AAK23" s="139"/>
      <c r="AAL23" s="41"/>
      <c r="AAM23" s="41"/>
      <c r="AAN23" s="41"/>
      <c r="AAO23" s="41"/>
      <c r="AAP23" s="41"/>
      <c r="AAQ23" s="76"/>
      <c r="AAR23" s="41"/>
      <c r="AAS23" s="41"/>
      <c r="AAT23" s="41"/>
      <c r="AAU23" s="41"/>
      <c r="AAV23" s="41"/>
      <c r="AAW23" s="42"/>
      <c r="AAX23" s="40"/>
      <c r="AAY23" s="66"/>
      <c r="AAZ23" s="66"/>
      <c r="ABA23" s="176"/>
      <c r="ABB23" s="177"/>
      <c r="ABC23" s="178"/>
      <c r="ABD23" s="177"/>
      <c r="ABE23" s="177"/>
      <c r="ABF23" s="177"/>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41"/>
      <c r="ACI23" s="41"/>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66"/>
      <c r="ADI23" s="66"/>
      <c r="ADJ23" s="41"/>
      <c r="ADK23" s="134"/>
      <c r="ADL23" s="41"/>
      <c r="ADM23" s="41"/>
      <c r="ADN23" s="41"/>
      <c r="ADO23" s="177"/>
      <c r="ADP23" s="177"/>
      <c r="ADQ23" s="179"/>
      <c r="ADR23" s="177"/>
      <c r="ADS23" s="177"/>
      <c r="ADT23" s="177"/>
      <c r="ADU23" s="41"/>
      <c r="ADV23" s="41"/>
      <c r="ADW23" s="76"/>
      <c r="ADX23" s="41"/>
      <c r="ADY23" s="41"/>
      <c r="ADZ23" s="41"/>
      <c r="AEA23" s="41"/>
      <c r="AEB23" s="41"/>
      <c r="AEC23" s="139"/>
      <c r="AED23" s="41"/>
      <c r="AEE23" s="41"/>
      <c r="AEF23" s="41"/>
      <c r="AEG23" s="41"/>
      <c r="AEH23" s="41"/>
      <c r="AEI23" s="76"/>
      <c r="AEJ23" s="66"/>
      <c r="AEK23" s="66"/>
      <c r="AEL23" s="66"/>
      <c r="AEM23" s="66"/>
      <c r="AEN23" s="41"/>
      <c r="AEO23" s="139"/>
      <c r="AEP23" s="41"/>
      <c r="AEQ23" s="41"/>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66"/>
      <c r="AFQ23" s="66"/>
      <c r="AFR23" s="41"/>
      <c r="AFS23" s="134"/>
      <c r="AFT23" s="41"/>
      <c r="AFU23" s="41"/>
      <c r="AFV23" s="41"/>
      <c r="AFW23" s="177"/>
      <c r="AFX23" s="177"/>
      <c r="AFY23" s="179"/>
      <c r="AFZ23" s="177"/>
      <c r="AGA23" s="177"/>
      <c r="AGB23" s="177"/>
      <c r="AGC23" s="41"/>
      <c r="AGD23" s="41"/>
      <c r="AGE23" s="76"/>
      <c r="AGF23" s="41"/>
      <c r="AGG23" s="41"/>
      <c r="AGH23" s="41"/>
      <c r="AGI23" s="41"/>
      <c r="AGJ23" s="41"/>
      <c r="AGK23" s="139"/>
      <c r="AGL23" s="41"/>
      <c r="AGM23" s="41"/>
      <c r="AGN23" s="41"/>
      <c r="AGO23" s="41"/>
      <c r="AGP23" s="41"/>
      <c r="AGQ23" s="76"/>
      <c r="AGR23" s="66"/>
      <c r="AGS23" s="66"/>
      <c r="AGT23" s="66"/>
      <c r="AGU23" s="66"/>
      <c r="AGV23" s="41"/>
      <c r="AGW23" s="139"/>
      <c r="AGX23" s="41"/>
      <c r="AGY23" s="41"/>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76"/>
      <c r="AIZ23" s="66"/>
      <c r="AJA23" s="66"/>
      <c r="AJB23" s="66"/>
      <c r="AJC23" s="66"/>
      <c r="AJD23" s="41"/>
      <c r="AJE23" s="139"/>
      <c r="AJF23" s="41"/>
      <c r="AJG23" s="41"/>
      <c r="AJH23" s="41"/>
      <c r="AJI23" s="177"/>
      <c r="AJJ23" s="177"/>
      <c r="AJK23" s="180"/>
      <c r="AJL23" s="177"/>
      <c r="AJM23" s="177"/>
      <c r="AJN23" s="177"/>
      <c r="AJO23" s="41"/>
      <c r="AJP23" s="41"/>
      <c r="AJQ23" s="139"/>
      <c r="AJR23" s="41"/>
      <c r="AJS23" s="41"/>
      <c r="AJT23" s="41"/>
      <c r="AJU23" s="41"/>
      <c r="AJV23" s="41"/>
      <c r="AJW23" s="76"/>
      <c r="AJX23" s="41"/>
      <c r="AJY23" s="41"/>
      <c r="AJZ23" s="41"/>
      <c r="AKA23" s="41"/>
      <c r="AKB23" s="41"/>
      <c r="AKC23" s="42"/>
      <c r="AKD23" s="40"/>
      <c r="AKE23" s="66"/>
      <c r="AKF23" s="66"/>
      <c r="AKG23" s="66"/>
      <c r="AKH23" s="41"/>
      <c r="AKI23" s="134"/>
      <c r="AKJ23" s="41"/>
      <c r="AKK23" s="41"/>
      <c r="AKL23" s="41"/>
      <c r="AKM23" s="41"/>
      <c r="AKN23" s="41"/>
      <c r="AKO23" s="139"/>
      <c r="AKP23" s="177"/>
      <c r="AKQ23" s="177"/>
      <c r="AKR23" s="177"/>
      <c r="AKS23" s="177"/>
      <c r="AKT23" s="177"/>
      <c r="AKU23" s="180"/>
      <c r="AKV23" s="41"/>
      <c r="AKW23" s="41"/>
      <c r="AKX23" s="41"/>
      <c r="AKY23" s="41"/>
      <c r="AKZ23" s="41"/>
      <c r="ALA23" s="139"/>
      <c r="ALB23" s="41"/>
      <c r="ALC23" s="41"/>
      <c r="ALD23" s="41"/>
      <c r="ALE23" s="41"/>
      <c r="ALF23" s="41"/>
      <c r="ALG23" s="76"/>
      <c r="ALH23" s="66"/>
      <c r="ALI23" s="66"/>
      <c r="ALJ23" s="66"/>
      <c r="ALK23" s="66"/>
      <c r="ALL23" s="41"/>
      <c r="ALM23" s="139"/>
      <c r="ALN23" s="41"/>
      <c r="ALO23" s="41"/>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41"/>
      <c r="ANG23" s="41"/>
      <c r="ANH23" s="41"/>
      <c r="ANI23" s="139"/>
      <c r="ANJ23" s="41"/>
      <c r="ANK23" s="41"/>
      <c r="ANL23" s="41"/>
      <c r="ANM23" s="41"/>
      <c r="ANN23" s="41"/>
      <c r="ANO23" s="180"/>
      <c r="ANP23" s="176"/>
      <c r="ANQ23" s="176"/>
      <c r="ANR23" s="176"/>
      <c r="ANS23" s="176"/>
      <c r="ANT23" s="177"/>
      <c r="ANU23" s="139"/>
      <c r="ANV23" s="41"/>
      <c r="ANW23" s="41"/>
      <c r="ANX23" s="41"/>
      <c r="ANY23" s="41"/>
      <c r="ANZ23" s="41"/>
      <c r="AOA23" s="76"/>
      <c r="AOB23" s="41"/>
      <c r="AOC23" s="41"/>
      <c r="AOD23" s="41"/>
      <c r="AOE23" s="41"/>
      <c r="AOF23" s="41"/>
      <c r="AOG23" s="139"/>
      <c r="AOH23" s="41"/>
      <c r="AOI23" s="41"/>
      <c r="AOJ23" s="41"/>
      <c r="AOK23" s="41"/>
      <c r="AOL23" s="41"/>
      <c r="AOM23" s="76"/>
      <c r="AON23" s="41"/>
      <c r="AOO23" s="41"/>
      <c r="AOP23" s="41"/>
      <c r="AOQ23" s="41"/>
      <c r="AOR23" s="41"/>
      <c r="AOS23" s="42"/>
      <c r="AOT23" s="40"/>
      <c r="AOU23" s="66"/>
      <c r="AOV23" s="66"/>
      <c r="AOW23" s="66"/>
      <c r="AOX23" s="41"/>
      <c r="AOY23" s="134"/>
      <c r="AOZ23" s="177"/>
      <c r="APA23" s="177"/>
      <c r="APB23" s="177"/>
      <c r="APC23" s="177"/>
      <c r="APD23" s="177"/>
      <c r="APE23" s="179"/>
      <c r="APF23" s="177"/>
      <c r="APG23" s="177"/>
      <c r="APH23" s="177"/>
      <c r="API23" s="177"/>
      <c r="APJ23" s="177"/>
      <c r="APK23" s="180"/>
      <c r="APL23" s="177"/>
      <c r="APM23" s="177"/>
      <c r="APN23" s="177"/>
      <c r="APO23" s="41"/>
      <c r="APP23" s="41"/>
      <c r="APQ23" s="139"/>
      <c r="APR23" s="41"/>
      <c r="APS23" s="41"/>
      <c r="APT23" s="41"/>
      <c r="APU23" s="41"/>
      <c r="APV23" s="41"/>
      <c r="APW23" s="76"/>
      <c r="APX23" s="66"/>
      <c r="APY23" s="66"/>
      <c r="APZ23" s="176"/>
      <c r="AQA23" s="176"/>
      <c r="AQB23" s="177"/>
      <c r="AQC23" s="179"/>
      <c r="AQD23" s="177"/>
      <c r="AQE23" s="177"/>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66"/>
      <c r="ARE23" s="66"/>
      <c r="ARF23" s="41"/>
      <c r="ARG23" s="134"/>
      <c r="ARH23" s="41"/>
      <c r="ARI23" s="177"/>
      <c r="ARJ23" s="177"/>
      <c r="ARK23" s="177"/>
      <c r="ARL23" s="177"/>
      <c r="ARM23" s="179"/>
      <c r="ARN23" s="177"/>
      <c r="ARO23" s="41"/>
      <c r="ARP23" s="41"/>
      <c r="ARQ23" s="41"/>
      <c r="ARR23" s="41"/>
      <c r="ARS23" s="76"/>
      <c r="ART23" s="41"/>
      <c r="ARU23" s="41"/>
      <c r="ARV23" s="41"/>
      <c r="ARW23" s="41"/>
      <c r="ARX23" s="41"/>
      <c r="ARY23" s="139"/>
      <c r="ARZ23" s="41"/>
      <c r="ASA23" s="41"/>
      <c r="ASB23" s="41"/>
      <c r="ASC23" s="41"/>
      <c r="ASD23" s="41"/>
      <c r="ASE23" s="76"/>
      <c r="ASF23" s="66"/>
      <c r="ASG23" s="66"/>
      <c r="ASH23" s="66"/>
      <c r="ASI23" s="66"/>
      <c r="ASJ23" s="41"/>
      <c r="ASK23" s="139"/>
      <c r="ASL23" s="41"/>
      <c r="ASM23" s="41"/>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177"/>
      <c r="ATW23" s="177"/>
      <c r="ATX23" s="177"/>
      <c r="ATY23" s="177"/>
      <c r="ATZ23" s="177"/>
      <c r="AUA23" s="180"/>
      <c r="AUB23" s="41"/>
      <c r="AUC23" s="41"/>
      <c r="AUD23" s="41"/>
      <c r="AUE23" s="41"/>
      <c r="AUF23" s="41"/>
      <c r="AUG23" s="139"/>
      <c r="AUH23" s="41"/>
      <c r="AUI23" s="41"/>
      <c r="AUJ23" s="41"/>
      <c r="AUK23" s="41"/>
      <c r="AUL23" s="41"/>
      <c r="AUM23" s="76"/>
      <c r="AUN23" s="66"/>
      <c r="AUO23" s="66"/>
      <c r="AUP23" s="66"/>
      <c r="AUQ23" s="66"/>
      <c r="AUR23" s="41"/>
      <c r="AUS23" s="139"/>
      <c r="AUT23" s="41"/>
      <c r="AUU23" s="41"/>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180"/>
      <c r="AWV23" s="176"/>
      <c r="AWW23" s="176"/>
      <c r="AWX23" s="176"/>
      <c r="AWY23" s="176"/>
      <c r="AWZ23" s="177"/>
      <c r="AXA23" s="139"/>
      <c r="AXB23" s="41"/>
      <c r="AXC23" s="41"/>
      <c r="AXD23" s="41"/>
      <c r="AXE23" s="41"/>
      <c r="AXF23" s="41"/>
      <c r="AXG23" s="76"/>
      <c r="AXH23" s="41"/>
      <c r="AXI23" s="41"/>
      <c r="AXJ23" s="41"/>
      <c r="AXK23" s="41"/>
      <c r="AXL23" s="41"/>
      <c r="AXM23" s="13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41"/>
      <c r="AYK23" s="139"/>
      <c r="AYL23" s="177"/>
      <c r="AYM23" s="177"/>
      <c r="AYN23" s="177"/>
      <c r="AYO23" s="177"/>
      <c r="AYP23" s="177"/>
      <c r="AYQ23" s="180"/>
      <c r="AYR23" s="41"/>
      <c r="AYS23" s="41"/>
      <c r="AYT23" s="41"/>
      <c r="AYU23" s="41"/>
      <c r="AYV23" s="41"/>
      <c r="AYW23" s="139"/>
      <c r="AYX23" s="41"/>
      <c r="AYY23" s="41"/>
      <c r="AYZ23" s="41"/>
      <c r="AZA23" s="41"/>
      <c r="AZB23" s="41"/>
      <c r="AZC23" s="76"/>
      <c r="AZD23" s="66"/>
      <c r="AZE23" s="66"/>
      <c r="AZF23" s="66"/>
      <c r="AZG23" s="66"/>
      <c r="AZH23" s="41"/>
      <c r="AZI23" s="139"/>
      <c r="AZJ23" s="41"/>
      <c r="AZK23" s="41"/>
      <c r="AZL23" s="41"/>
      <c r="AZM23" s="41"/>
      <c r="AZN23" s="41"/>
      <c r="AZO23" s="76"/>
      <c r="AZP23" s="41"/>
      <c r="AZQ23" s="41"/>
      <c r="AZR23" s="41"/>
      <c r="AZS23" s="41"/>
      <c r="AZT23" s="41"/>
      <c r="AZU23" s="139"/>
      <c r="AZV23" s="41"/>
      <c r="AZW23" s="41"/>
      <c r="AZX23" s="41"/>
      <c r="AZY23" s="41"/>
      <c r="AZZ23" s="41"/>
      <c r="BAA23" s="76"/>
      <c r="BAB23" s="41"/>
      <c r="BAC23" s="41"/>
      <c r="BAD23" s="41"/>
      <c r="BAE23" s="41"/>
      <c r="BAF23" s="41"/>
      <c r="BAG23" s="42"/>
      <c r="BAH23" s="40"/>
      <c r="BAI23" s="66"/>
      <c r="BAJ23" s="66"/>
      <c r="BAK23" s="66"/>
      <c r="BAL23" s="41"/>
      <c r="BAM23" s="134"/>
      <c r="BAN23" s="41"/>
      <c r="BAO23" s="41"/>
      <c r="BAP23" s="41"/>
      <c r="BAQ23" s="41"/>
      <c r="BAR23" s="41"/>
      <c r="BAS23" s="139"/>
      <c r="BAT23" s="41"/>
      <c r="BAU23" s="41"/>
      <c r="BAV23" s="41"/>
      <c r="BAW23" s="41"/>
      <c r="BAX23" s="41"/>
      <c r="BAY23" s="76"/>
      <c r="BAZ23" s="41"/>
      <c r="BBA23" s="41"/>
      <c r="BBB23" s="41"/>
      <c r="BBC23" s="41"/>
      <c r="BBD23" s="41"/>
      <c r="BBE23" s="139"/>
      <c r="BBF23" s="41"/>
      <c r="BBG23" s="41"/>
      <c r="BBH23" s="41"/>
      <c r="BBI23" s="41"/>
      <c r="BBJ23" s="41"/>
      <c r="BBK23" s="180"/>
      <c r="BBL23" s="176"/>
      <c r="BBM23" s="176"/>
      <c r="BBN23" s="176"/>
      <c r="BBO23" s="176"/>
      <c r="BBP23" s="177"/>
      <c r="BBQ23" s="139"/>
      <c r="BBR23" s="41"/>
      <c r="BBS23" s="41"/>
      <c r="BBT23" s="41"/>
      <c r="BBU23" s="41"/>
      <c r="BBV23" s="41"/>
      <c r="BBW23" s="76"/>
      <c r="BBX23" s="41"/>
      <c r="BBY23" s="41"/>
      <c r="BBZ23" s="41"/>
      <c r="BCA23" s="41"/>
      <c r="BCB23" s="41"/>
      <c r="BCC23" s="139"/>
      <c r="BCD23" s="41"/>
      <c r="BCE23" s="41"/>
      <c r="BCF23" s="41"/>
      <c r="BCG23" s="41"/>
      <c r="BCH23" s="41"/>
      <c r="BCI23" s="76"/>
      <c r="BCJ23" s="41"/>
      <c r="BCK23" s="41"/>
      <c r="BCL23" s="41"/>
      <c r="BCM23" s="41"/>
      <c r="BCN23" s="41"/>
      <c r="BCO23" s="42"/>
      <c r="BCP23" s="40"/>
      <c r="BCQ23" s="66"/>
      <c r="BCR23" s="66"/>
      <c r="BCS23" s="66"/>
      <c r="BCT23" s="41"/>
      <c r="BCU23" s="134"/>
      <c r="BCV23" s="41"/>
      <c r="BCW23" s="41"/>
      <c r="BCX23" s="41"/>
      <c r="BCY23" s="177"/>
      <c r="BCZ23" s="177"/>
      <c r="BDA23" s="179"/>
      <c r="BDB23" s="177"/>
      <c r="BDC23" s="177"/>
      <c r="BDD23" s="177"/>
      <c r="BDE23" s="41"/>
      <c r="BDF23" s="41"/>
      <c r="BDG23" s="76"/>
      <c r="BDH23" s="41"/>
      <c r="BDI23" s="41"/>
      <c r="BDJ23" s="41"/>
      <c r="BDK23" s="41"/>
      <c r="BDL23" s="41"/>
      <c r="BDM23" s="139"/>
      <c r="BDN23" s="41"/>
      <c r="BDO23" s="41"/>
      <c r="BDP23" s="41"/>
      <c r="BDQ23" s="41"/>
      <c r="BDR23" s="41"/>
      <c r="BDS23" s="76"/>
      <c r="BDT23" s="66"/>
      <c r="BDU23" s="66"/>
      <c r="BDV23" s="66"/>
      <c r="BDW23" s="66"/>
      <c r="BDX23" s="41"/>
      <c r="BDY23" s="139"/>
      <c r="BDZ23" s="41"/>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40"/>
      <c r="BEY23" s="66"/>
      <c r="BEZ23" s="66"/>
      <c r="BFA23" s="66"/>
      <c r="BFB23" s="41"/>
      <c r="BFC23" s="134"/>
      <c r="BFD23" s="41"/>
      <c r="BFE23" s="41"/>
      <c r="BFF23" s="41"/>
      <c r="BFG23" s="41"/>
      <c r="BFH23" s="41"/>
      <c r="BFI23" s="139"/>
      <c r="BFJ23" s="41"/>
      <c r="BFK23" s="177"/>
      <c r="BFL23" s="177"/>
      <c r="BFM23" s="177"/>
      <c r="BFN23" s="177"/>
      <c r="BFO23" s="180"/>
      <c r="BFP23" s="177"/>
      <c r="BFQ23" s="41"/>
      <c r="BFR23" s="41"/>
      <c r="BFS23" s="41"/>
      <c r="BFT23" s="177"/>
      <c r="BFU23" s="179"/>
      <c r="BFV23" s="177"/>
      <c r="BFW23" s="177"/>
      <c r="BFX23" s="177"/>
      <c r="BFY23" s="177"/>
      <c r="BFZ23" s="177"/>
      <c r="BGA23" s="180"/>
      <c r="BGB23" s="176"/>
      <c r="BGC23" s="176"/>
      <c r="BGD23" s="176"/>
      <c r="BGE23" s="176"/>
      <c r="BGF23" s="177"/>
      <c r="BGG23" s="179"/>
      <c r="BGH23" s="177"/>
      <c r="BGI23" s="177"/>
      <c r="BGJ23" s="41"/>
      <c r="BGK23" s="41"/>
      <c r="BGL23" s="41"/>
      <c r="BGM23" s="76"/>
      <c r="BGN23" s="41"/>
      <c r="BGO23" s="41"/>
      <c r="BGP23" s="41"/>
      <c r="BGQ23" s="41"/>
      <c r="BGR23" s="41"/>
      <c r="BGS23" s="139"/>
      <c r="BGT23" s="41"/>
      <c r="BGU23" s="41"/>
      <c r="BGV23" s="41"/>
      <c r="BGW23" s="41"/>
      <c r="BGX23" s="41"/>
      <c r="BGY23" s="76"/>
      <c r="BGZ23" s="41"/>
      <c r="BHA23" s="41"/>
      <c r="BHB23" s="41"/>
      <c r="BHC23" s="41"/>
      <c r="BHD23" s="41"/>
      <c r="BHE23" s="42"/>
      <c r="BHF23" s="175"/>
      <c r="BHG23" s="176"/>
      <c r="BHH23" s="176"/>
      <c r="BHI23" s="176"/>
      <c r="BHJ23" s="177"/>
      <c r="BHK23" s="178"/>
      <c r="BHL23" s="177"/>
      <c r="BHM23" s="177"/>
      <c r="BHN23" s="177"/>
      <c r="BHO23" s="177"/>
      <c r="BHP23" s="177"/>
      <c r="BHQ23" s="179"/>
      <c r="BHR23" s="41"/>
      <c r="BHS23" s="41"/>
      <c r="BHT23" s="41"/>
      <c r="BHU23" s="41"/>
      <c r="BHV23" s="41"/>
      <c r="BHW23" s="76"/>
      <c r="BHX23" s="41"/>
      <c r="BHY23" s="41"/>
      <c r="BHZ23" s="41"/>
      <c r="BIA23" s="41"/>
      <c r="BIB23" s="41"/>
      <c r="BIC23" s="139"/>
      <c r="BID23" s="41"/>
      <c r="BIE23" s="41"/>
      <c r="BIF23" s="41"/>
      <c r="BIG23" s="41"/>
      <c r="BIH23" s="41"/>
      <c r="BII23" s="76"/>
      <c r="BIJ23" s="66"/>
      <c r="BIK23" s="66"/>
      <c r="BIL23" s="66"/>
      <c r="BIM23" s="66"/>
      <c r="BIN23" s="41"/>
      <c r="BIO23" s="139"/>
      <c r="BIP23" s="41"/>
      <c r="BIQ23" s="41"/>
      <c r="BIR23" s="41"/>
      <c r="BIS23" s="41"/>
      <c r="BIT23" s="41"/>
      <c r="BIU23" s="76"/>
      <c r="BIV23" s="41"/>
      <c r="BIW23" s="41"/>
      <c r="BIX23" s="41"/>
      <c r="BIY23" s="41"/>
      <c r="BIZ23" s="41"/>
      <c r="BJA23" s="139"/>
      <c r="BJB23" s="41"/>
      <c r="BJC23" s="41"/>
      <c r="BJD23" s="41"/>
      <c r="BJE23" s="41"/>
      <c r="BJF23" s="41"/>
      <c r="BJG23" s="76"/>
      <c r="BJH23" s="41"/>
      <c r="BJI23" s="41"/>
      <c r="BJJ23" s="41"/>
      <c r="BJK23" s="41"/>
      <c r="BJL23" s="41"/>
      <c r="BJM23" s="42"/>
      <c r="BJN23" s="175"/>
      <c r="BJO23" s="176"/>
      <c r="BJP23" s="176"/>
      <c r="BJQ23" s="176"/>
      <c r="BJR23" s="177"/>
      <c r="BJS23" s="178"/>
      <c r="BJT23" s="177"/>
      <c r="BJU23" s="177"/>
      <c r="BJV23" s="177"/>
      <c r="BJW23" s="177"/>
      <c r="BJX23" s="177"/>
      <c r="BJY23" s="179"/>
      <c r="BJZ23" s="177"/>
      <c r="BKA23" s="177"/>
      <c r="BKB23" s="177"/>
      <c r="BKC23" s="177"/>
      <c r="BKD23" s="177"/>
      <c r="BKE23" s="180"/>
      <c r="BKF23" s="177"/>
      <c r="BKG23" s="41"/>
      <c r="BKH23" s="41"/>
      <c r="BKI23" s="41"/>
      <c r="BKJ23" s="41"/>
      <c r="BKK23" s="139"/>
      <c r="BKL23" s="41"/>
      <c r="BKM23" s="41"/>
      <c r="BKN23" s="41"/>
      <c r="BKO23" s="41"/>
      <c r="BKP23" s="41"/>
      <c r="BKQ23" s="76"/>
      <c r="BKR23" s="66"/>
      <c r="BKS23" s="66"/>
      <c r="BKT23" s="66"/>
      <c r="BKU23" s="66"/>
      <c r="BKV23" s="41"/>
      <c r="BKW23" s="139"/>
      <c r="BKX23" s="41"/>
      <c r="BKY23" s="41"/>
      <c r="BKZ23" s="41"/>
      <c r="BLA23" s="41"/>
      <c r="BLB23" s="41"/>
      <c r="BLC23" s="76"/>
      <c r="BLD23" s="41"/>
      <c r="BLE23" s="41"/>
      <c r="BLF23" s="41"/>
      <c r="BLG23" s="41"/>
      <c r="BLH23" s="41"/>
      <c r="BLI23" s="139"/>
      <c r="BLJ23" s="41"/>
      <c r="BLK23" s="41"/>
      <c r="BLL23" s="41"/>
      <c r="BLM23" s="41"/>
      <c r="BLN23" s="41"/>
      <c r="BLO23" s="76"/>
      <c r="BLP23" s="41"/>
      <c r="BLQ23" s="41"/>
      <c r="BLR23" s="41"/>
      <c r="BLS23" s="41"/>
      <c r="BLT23" s="41"/>
      <c r="BLU23" s="42"/>
      <c r="BLV23" s="90"/>
    </row>
    <row r="24" spans="1:1686" ht="20.100000000000001" customHeight="1" x14ac:dyDescent="0.25">
      <c r="A24" s="100" t="s">
        <v>18</v>
      </c>
      <c r="B24" s="63" t="str">
        <f>IF(LEN(C33)=0,"",C33)</f>
        <v>Réalisation - Base de données</v>
      </c>
      <c r="C24" s="207"/>
      <c r="D24" s="147" t="str">
        <f t="shared" si="0"/>
        <v>0h</v>
      </c>
      <c r="E24" s="27">
        <v>0</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29"/>
      <c r="GO24" s="136"/>
      <c r="GP24" s="29"/>
      <c r="GQ24" s="29"/>
      <c r="GR24" s="29"/>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9"/>
      <c r="JG24" s="29"/>
      <c r="JH24" s="29"/>
      <c r="JI24" s="136"/>
      <c r="JJ24" s="29"/>
      <c r="JK24" s="29"/>
      <c r="JL24" s="29"/>
      <c r="JM24" s="29"/>
      <c r="JN24" s="29"/>
      <c r="JO24" s="73"/>
      <c r="JP24" s="67"/>
      <c r="JQ24" s="67"/>
      <c r="JR24" s="67"/>
      <c r="JS24" s="6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8"/>
      <c r="KU24" s="67"/>
      <c r="KV24" s="67"/>
      <c r="KW24" s="67"/>
      <c r="KX24" s="29"/>
      <c r="KY24" s="131"/>
      <c r="KZ24" s="29"/>
      <c r="LA24" s="29"/>
      <c r="LB24" s="29"/>
      <c r="LC24" s="29"/>
      <c r="LD24" s="29"/>
      <c r="LE24" s="136"/>
      <c r="LF24" s="29"/>
      <c r="LG24" s="29"/>
      <c r="LH24" s="29"/>
      <c r="LI24" s="29"/>
      <c r="LJ24" s="29"/>
      <c r="LK24" s="73"/>
      <c r="LL24" s="29"/>
      <c r="LM24" s="29"/>
      <c r="LN24" s="29"/>
      <c r="LO24" s="29"/>
      <c r="LP24" s="29"/>
      <c r="LQ24" s="136"/>
      <c r="LR24" s="29"/>
      <c r="LS24" s="29"/>
      <c r="LT24" s="29"/>
      <c r="LU24" s="29"/>
      <c r="LV24" s="29"/>
      <c r="LW24" s="73"/>
      <c r="LX24" s="67"/>
      <c r="LY24" s="67"/>
      <c r="LZ24" s="67"/>
      <c r="MA24" s="67"/>
      <c r="MB24" s="29"/>
      <c r="MC24" s="136"/>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8"/>
      <c r="NC24" s="67"/>
      <c r="ND24" s="67"/>
      <c r="NE24" s="67"/>
      <c r="NF24" s="29"/>
      <c r="NG24" s="131"/>
      <c r="NH24" s="29"/>
      <c r="NI24" s="29"/>
      <c r="NJ24" s="29"/>
      <c r="NK24" s="29"/>
      <c r="NL24" s="29"/>
      <c r="NM24" s="136"/>
      <c r="NN24" s="29"/>
      <c r="NO24" s="29"/>
      <c r="NP24" s="29"/>
      <c r="NQ24" s="29"/>
      <c r="NR24" s="29"/>
      <c r="NS24" s="73"/>
      <c r="NT24" s="29"/>
      <c r="NU24" s="29"/>
      <c r="NV24" s="29"/>
      <c r="NW24" s="29"/>
      <c r="NX24" s="29"/>
      <c r="NY24" s="136"/>
      <c r="NZ24" s="29"/>
      <c r="OA24" s="29"/>
      <c r="OB24" s="29"/>
      <c r="OC24" s="29"/>
      <c r="OD24" s="29"/>
      <c r="OE24" s="73"/>
      <c r="OF24" s="67"/>
      <c r="OG24" s="67"/>
      <c r="OH24" s="67"/>
      <c r="OI24" s="67"/>
      <c r="OJ24" s="29"/>
      <c r="OK24" s="136"/>
      <c r="OL24" s="29"/>
      <c r="OM24" s="29"/>
      <c r="ON24" s="29"/>
      <c r="OO24" s="29"/>
      <c r="OP24" s="29"/>
      <c r="OQ24" s="73"/>
      <c r="OR24" s="29"/>
      <c r="OS24" s="29"/>
      <c r="OT24" s="29"/>
      <c r="OU24" s="29"/>
      <c r="OV24" s="29"/>
      <c r="OW24" s="136"/>
      <c r="OX24" s="29"/>
      <c r="OY24" s="29"/>
      <c r="OZ24" s="29"/>
      <c r="PA24" s="29"/>
      <c r="PB24" s="29"/>
      <c r="PC24" s="73"/>
      <c r="PD24" s="29"/>
      <c r="PE24" s="29"/>
      <c r="PF24" s="29"/>
      <c r="PG24" s="29"/>
      <c r="PH24" s="29"/>
      <c r="PI24" s="30"/>
      <c r="PJ24" s="28"/>
      <c r="PK24" s="67"/>
      <c r="PL24" s="67"/>
      <c r="PM24" s="67"/>
      <c r="PN24" s="29"/>
      <c r="PO24" s="131"/>
      <c r="PP24" s="29"/>
      <c r="PQ24" s="29"/>
      <c r="PR24" s="29"/>
      <c r="PS24" s="29"/>
      <c r="PT24" s="29"/>
      <c r="PU24" s="136"/>
      <c r="PV24" s="29"/>
      <c r="PW24" s="29"/>
      <c r="PX24" s="29"/>
      <c r="PY24" s="29"/>
      <c r="PZ24" s="29"/>
      <c r="QA24" s="73"/>
      <c r="QB24" s="29"/>
      <c r="QC24" s="29"/>
      <c r="QD24" s="29"/>
      <c r="QE24" s="29"/>
      <c r="QF24" s="29"/>
      <c r="QG24" s="136"/>
      <c r="QH24" s="29"/>
      <c r="QI24" s="29"/>
      <c r="QJ24" s="29"/>
      <c r="QK24" s="29"/>
      <c r="QL24" s="29"/>
      <c r="QM24" s="73"/>
      <c r="QN24" s="67"/>
      <c r="QO24" s="67"/>
      <c r="QP24" s="67"/>
      <c r="QQ24" s="67"/>
      <c r="QR24" s="29"/>
      <c r="QS24" s="136"/>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67"/>
      <c r="RT24" s="67"/>
      <c r="RU24" s="67"/>
      <c r="RV24" s="29"/>
      <c r="RW24" s="131"/>
      <c r="RX24" s="29"/>
      <c r="RY24" s="29"/>
      <c r="RZ24" s="29"/>
      <c r="SA24" s="29"/>
      <c r="SB24" s="29"/>
      <c r="SC24" s="136"/>
      <c r="SD24" s="29"/>
      <c r="SE24" s="29"/>
      <c r="SF24" s="29"/>
      <c r="SG24" s="29"/>
      <c r="SH24" s="29"/>
      <c r="SI24" s="73"/>
      <c r="SJ24" s="29"/>
      <c r="SK24" s="29"/>
      <c r="SL24" s="29"/>
      <c r="SM24" s="29"/>
      <c r="SN24" s="29"/>
      <c r="SO24" s="136"/>
      <c r="SP24" s="29"/>
      <c r="SQ24" s="29"/>
      <c r="SR24" s="29"/>
      <c r="SS24" s="29"/>
      <c r="ST24" s="29"/>
      <c r="SU24" s="73"/>
      <c r="SV24" s="67"/>
      <c r="SW24" s="67"/>
      <c r="SX24" s="67"/>
      <c r="SY24" s="67"/>
      <c r="SZ24" s="29"/>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67"/>
      <c r="WK24" s="67"/>
      <c r="WL24" s="2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29"/>
      <c r="ABG24" s="29"/>
      <c r="ABH24" s="29"/>
      <c r="ABI24" s="136"/>
      <c r="ABJ24" s="29"/>
      <c r="ABK24" s="29"/>
      <c r="ABL24" s="29"/>
      <c r="ABM24" s="29"/>
      <c r="ABN24" s="29"/>
      <c r="ABO24" s="73"/>
      <c r="ABP24" s="29"/>
      <c r="ABQ24" s="29"/>
      <c r="ABR24" s="29"/>
      <c r="ABS24" s="29"/>
      <c r="ABT24" s="29"/>
      <c r="ABU24" s="136"/>
      <c r="ABV24" s="29"/>
      <c r="ABW24" s="29"/>
      <c r="ABX24" s="29"/>
      <c r="ABY24" s="29"/>
      <c r="ABZ24" s="29"/>
      <c r="ACA24" s="73"/>
      <c r="ACB24" s="67"/>
      <c r="ACC24" s="67"/>
      <c r="ACD24" s="67"/>
      <c r="ACE24" s="67"/>
      <c r="ACF24" s="29"/>
      <c r="ACG24" s="136"/>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29"/>
      <c r="ADP24" s="29"/>
      <c r="ADQ24" s="136"/>
      <c r="ADR24" s="29"/>
      <c r="ADS24" s="29"/>
      <c r="ADT24" s="29"/>
      <c r="ADU24" s="29"/>
      <c r="ADV24" s="29"/>
      <c r="ADW24" s="73"/>
      <c r="ADX24" s="29"/>
      <c r="ADY24" s="29"/>
      <c r="ADZ24" s="29"/>
      <c r="AEA24" s="29"/>
      <c r="AEB24" s="29"/>
      <c r="AEC24" s="136"/>
      <c r="AED24" s="29"/>
      <c r="AEE24" s="29"/>
      <c r="AEF24" s="29"/>
      <c r="AEG24" s="29"/>
      <c r="AEH24" s="29"/>
      <c r="AEI24" s="73"/>
      <c r="AEJ24" s="67"/>
      <c r="AEK24" s="67"/>
      <c r="AEL24" s="67"/>
      <c r="AEM24" s="67"/>
      <c r="AEN24" s="29"/>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8"/>
      <c r="AFO24" s="67"/>
      <c r="AFP24" s="67"/>
      <c r="AFQ24" s="67"/>
      <c r="AFR24" s="29"/>
      <c r="AFS24" s="131"/>
      <c r="AFT24" s="29"/>
      <c r="AFU24" s="29"/>
      <c r="AFV24" s="29"/>
      <c r="AFW24" s="29"/>
      <c r="AFX24" s="29"/>
      <c r="AFY24" s="136"/>
      <c r="AFZ24" s="29"/>
      <c r="AGA24" s="29"/>
      <c r="AGB24" s="29"/>
      <c r="AGC24" s="29"/>
      <c r="AGD24" s="29"/>
      <c r="AGE24" s="73"/>
      <c r="AGF24" s="29"/>
      <c r="AGG24" s="29"/>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36"/>
      <c r="AIH24" s="29"/>
      <c r="AII24" s="29"/>
      <c r="AIJ24" s="29"/>
      <c r="AIK24" s="29"/>
      <c r="AIL24" s="29"/>
      <c r="AIM24" s="73"/>
      <c r="AIN24" s="29"/>
      <c r="AIO24" s="29"/>
      <c r="AIP24" s="29"/>
      <c r="AIQ24" s="29"/>
      <c r="AIR24" s="29"/>
      <c r="AIS24" s="136"/>
      <c r="AIT24" s="29"/>
      <c r="AIU24" s="29"/>
      <c r="AIV24" s="29"/>
      <c r="AIW24" s="29"/>
      <c r="AIX24" s="29"/>
      <c r="AIY24" s="73"/>
      <c r="AIZ24" s="67"/>
      <c r="AJA24" s="67"/>
      <c r="AJB24" s="67"/>
      <c r="AJC24" s="67"/>
      <c r="AJD24" s="29"/>
      <c r="AJE24" s="136"/>
      <c r="AJF24" s="29"/>
      <c r="AJG24" s="29"/>
      <c r="AJH24" s="29"/>
      <c r="AJI24" s="29"/>
      <c r="AJJ24" s="29"/>
      <c r="AJK24" s="73"/>
      <c r="AJL24" s="29"/>
      <c r="AJM24" s="29"/>
      <c r="AJN24" s="29"/>
      <c r="AJO24" s="29"/>
      <c r="AJP24" s="29"/>
      <c r="AJQ24" s="136"/>
      <c r="AJR24" s="29"/>
      <c r="AJS24" s="29"/>
      <c r="AJT24" s="29"/>
      <c r="AJU24" s="29"/>
      <c r="AJV24" s="29"/>
      <c r="AJW24" s="73"/>
      <c r="AJX24" s="29"/>
      <c r="AJY24" s="29"/>
      <c r="AJZ24" s="29"/>
      <c r="AKA24" s="29"/>
      <c r="AKB24" s="29"/>
      <c r="AKC24" s="30"/>
      <c r="AKD24" s="28"/>
      <c r="AKE24" s="67"/>
      <c r="AKF24" s="67"/>
      <c r="AKG24" s="67"/>
      <c r="AKH24" s="29"/>
      <c r="AKI24" s="131"/>
      <c r="AKJ24" s="29"/>
      <c r="AKK24" s="29"/>
      <c r="AKL24" s="29"/>
      <c r="AKM24" s="29"/>
      <c r="AKN24" s="29"/>
      <c r="AKO24" s="136"/>
      <c r="AKP24" s="29"/>
      <c r="AKQ24" s="29"/>
      <c r="AKR24" s="29"/>
      <c r="AKS24" s="29"/>
      <c r="AKT24" s="29"/>
      <c r="AKU24" s="73"/>
      <c r="AKV24" s="29"/>
      <c r="AKW24" s="29"/>
      <c r="AKX24" s="29"/>
      <c r="AKY24" s="29"/>
      <c r="AKZ24" s="29"/>
      <c r="ALA24" s="136"/>
      <c r="ALB24" s="29"/>
      <c r="ALC24" s="29"/>
      <c r="ALD24" s="29"/>
      <c r="ALE24" s="29"/>
      <c r="ALF24" s="29"/>
      <c r="ALG24" s="73"/>
      <c r="ALH24" s="67"/>
      <c r="ALI24" s="67"/>
      <c r="ALJ24" s="67"/>
      <c r="ALK24" s="67"/>
      <c r="ALL24" s="29"/>
      <c r="ALM24" s="136"/>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8"/>
      <c r="AMM24" s="67"/>
      <c r="AMN24" s="67"/>
      <c r="AMO24" s="67"/>
      <c r="AMP24" s="29"/>
      <c r="AMQ24" s="131"/>
      <c r="AMR24" s="29"/>
      <c r="AMS24" s="29"/>
      <c r="AMT24" s="29"/>
      <c r="AMU24" s="29"/>
      <c r="AMV24" s="29"/>
      <c r="AMW24" s="136"/>
      <c r="AMX24" s="29"/>
      <c r="AMY24" s="29"/>
      <c r="AMZ24" s="29"/>
      <c r="ANA24" s="29"/>
      <c r="ANB24" s="29"/>
      <c r="ANC24" s="73"/>
      <c r="AND24" s="29"/>
      <c r="ANE24" s="29"/>
      <c r="ANF24" s="29"/>
      <c r="ANG24" s="29"/>
      <c r="ANH24" s="29"/>
      <c r="ANI24" s="136"/>
      <c r="ANJ24" s="29"/>
      <c r="ANK24" s="29"/>
      <c r="ANL24" s="29"/>
      <c r="ANM24" s="29"/>
      <c r="ANN24" s="29"/>
      <c r="ANO24" s="73"/>
      <c r="ANP24" s="67"/>
      <c r="ANQ24" s="67"/>
      <c r="ANR24" s="67"/>
      <c r="ANS24" s="67"/>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29"/>
      <c r="APH24" s="29"/>
      <c r="API24" s="29"/>
      <c r="APJ24" s="29"/>
      <c r="APK24" s="73"/>
      <c r="APL24" s="29"/>
      <c r="APM24" s="29"/>
      <c r="APN24" s="29"/>
      <c r="APO24" s="29"/>
      <c r="APP24" s="29"/>
      <c r="APQ24" s="136"/>
      <c r="APR24" s="29"/>
      <c r="APS24" s="29"/>
      <c r="APT24" s="29"/>
      <c r="APU24" s="29"/>
      <c r="APV24" s="29"/>
      <c r="APW24" s="73"/>
      <c r="APX24" s="67"/>
      <c r="APY24" s="67"/>
      <c r="APZ24" s="67"/>
      <c r="AQA24" s="67"/>
      <c r="AQB24" s="29"/>
      <c r="AQC24" s="136"/>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29"/>
      <c r="ARI24" s="29"/>
      <c r="ARJ24" s="29"/>
      <c r="ARK24" s="29"/>
      <c r="ARL24" s="29"/>
      <c r="ARM24" s="136"/>
      <c r="ARN24" s="29"/>
      <c r="ARO24" s="29"/>
      <c r="ARP24" s="29"/>
      <c r="ARQ24" s="29"/>
      <c r="ARR24" s="29"/>
      <c r="ARS24" s="73"/>
      <c r="ART24" s="29"/>
      <c r="ARU24" s="29"/>
      <c r="ARV24" s="29"/>
      <c r="ARW24" s="29"/>
      <c r="ARX24" s="29"/>
      <c r="ARY24" s="136"/>
      <c r="ARZ24" s="29"/>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8"/>
      <c r="ATK24" s="67"/>
      <c r="ATL24" s="67"/>
      <c r="ATM24" s="67"/>
      <c r="ATN24" s="29"/>
      <c r="ATO24" s="131"/>
      <c r="ATP24" s="29"/>
      <c r="ATQ24" s="29"/>
      <c r="ATR24" s="29"/>
      <c r="ATS24" s="29"/>
      <c r="ATT24" s="29"/>
      <c r="ATU24" s="136"/>
      <c r="ATV24" s="29"/>
      <c r="ATW24" s="29"/>
      <c r="ATX24" s="29"/>
      <c r="ATY24" s="29"/>
      <c r="ATZ24" s="29"/>
      <c r="AUA24" s="73"/>
      <c r="AUB24" s="29"/>
      <c r="AUC24" s="29"/>
      <c r="AUD24" s="29"/>
      <c r="AUE24" s="29"/>
      <c r="AUF24" s="29"/>
      <c r="AUG24" s="136"/>
      <c r="AUH24" s="29"/>
      <c r="AUI24" s="29"/>
      <c r="AUJ24" s="29"/>
      <c r="AUK24" s="29"/>
      <c r="AUL24" s="29"/>
      <c r="AUM24" s="73"/>
      <c r="AUN24" s="67"/>
      <c r="AUO24" s="67"/>
      <c r="AUP24" s="67"/>
      <c r="AUQ24" s="67"/>
      <c r="AUR24" s="29"/>
      <c r="AUS24" s="136"/>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8"/>
      <c r="AVS24" s="67"/>
      <c r="AVT24" s="67"/>
      <c r="AVU24" s="67"/>
      <c r="AVV24" s="29"/>
      <c r="AVW24" s="131"/>
      <c r="AVX24" s="29"/>
      <c r="AVY24" s="29"/>
      <c r="AVZ24" s="29"/>
      <c r="AWA24" s="29"/>
      <c r="AWB24" s="29"/>
      <c r="AWC24" s="136"/>
      <c r="AWD24" s="29"/>
      <c r="AWE24" s="29"/>
      <c r="AWF24" s="29"/>
      <c r="AWG24" s="29"/>
      <c r="AWH24" s="29"/>
      <c r="AWI24" s="73"/>
      <c r="AWJ24" s="29"/>
      <c r="AWK24" s="29"/>
      <c r="AWL24" s="29"/>
      <c r="AWM24" s="29"/>
      <c r="AWN24" s="29"/>
      <c r="AWO24" s="136"/>
      <c r="AWP24" s="29"/>
      <c r="AWQ24" s="29"/>
      <c r="AWR24" s="29"/>
      <c r="AWS24" s="29"/>
      <c r="AWT24" s="29"/>
      <c r="AWU24" s="73"/>
      <c r="AWV24" s="67"/>
      <c r="AWW24" s="67"/>
      <c r="AWX24" s="67"/>
      <c r="AWY24" s="67"/>
      <c r="AWZ24" s="29"/>
      <c r="AXA24" s="136"/>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28"/>
      <c r="AYA24" s="67"/>
      <c r="AYB24" s="67"/>
      <c r="AYC24" s="67"/>
      <c r="AYD24" s="29"/>
      <c r="AYE24" s="131"/>
      <c r="AYF24" s="29"/>
      <c r="AYG24" s="29"/>
      <c r="AYH24" s="29"/>
      <c r="AYI24" s="29"/>
      <c r="AYJ24" s="29"/>
      <c r="AYK24" s="136"/>
      <c r="AYL24" s="29"/>
      <c r="AYM24" s="29"/>
      <c r="AYN24" s="29"/>
      <c r="AYO24" s="29"/>
      <c r="AYP24" s="29"/>
      <c r="AYQ24" s="73"/>
      <c r="AYR24" s="29"/>
      <c r="AYS24" s="29"/>
      <c r="AYT24" s="29"/>
      <c r="AYU24" s="29"/>
      <c r="AYV24" s="29"/>
      <c r="AYW24" s="136"/>
      <c r="AYX24" s="29"/>
      <c r="AYY24" s="29"/>
      <c r="AYZ24" s="29"/>
      <c r="AZA24" s="29"/>
      <c r="AZB24" s="29"/>
      <c r="AZC24" s="73"/>
      <c r="AZD24" s="67"/>
      <c r="AZE24" s="67"/>
      <c r="AZF24" s="67"/>
      <c r="AZG24" s="67"/>
      <c r="AZH24" s="29"/>
      <c r="AZI24" s="136"/>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8"/>
      <c r="BAI24" s="67"/>
      <c r="BAJ24" s="67"/>
      <c r="BAK24" s="67"/>
      <c r="BAL24" s="29"/>
      <c r="BAM24" s="131"/>
      <c r="BAN24" s="29"/>
      <c r="BAO24" s="29"/>
      <c r="BAP24" s="29"/>
      <c r="BAQ24" s="29"/>
      <c r="BAR24" s="29"/>
      <c r="BAS24" s="136"/>
      <c r="BAT24" s="29"/>
      <c r="BAU24" s="29"/>
      <c r="BAV24" s="29"/>
      <c r="BAW24" s="29"/>
      <c r="BAX24" s="29"/>
      <c r="BAY24" s="73"/>
      <c r="BAZ24" s="29"/>
      <c r="BBA24" s="29"/>
      <c r="BBB24" s="29"/>
      <c r="BBC24" s="29"/>
      <c r="BBD24" s="29"/>
      <c r="BBE24" s="136"/>
      <c r="BBF24" s="29"/>
      <c r="BBG24" s="29"/>
      <c r="BBH24" s="29"/>
      <c r="BBI24" s="29"/>
      <c r="BBJ24" s="29"/>
      <c r="BBK24" s="73"/>
      <c r="BBL24" s="67"/>
      <c r="BBM24" s="67"/>
      <c r="BBN24" s="67"/>
      <c r="BBO24" s="67"/>
      <c r="BBP24" s="29"/>
      <c r="BBQ24" s="136"/>
      <c r="BBR24" s="29"/>
      <c r="BBS24" s="29"/>
      <c r="BBT24" s="29"/>
      <c r="BBU24" s="29"/>
      <c r="BBV24" s="29"/>
      <c r="BBW24" s="73"/>
      <c r="BBX24" s="29"/>
      <c r="BBY24" s="29"/>
      <c r="BBZ24" s="29"/>
      <c r="BCA24" s="29"/>
      <c r="BCB24" s="29"/>
      <c r="BCC24" s="136"/>
      <c r="BCD24" s="29"/>
      <c r="BCE24" s="29"/>
      <c r="BCF24" s="29"/>
      <c r="BCG24" s="29"/>
      <c r="BCH24" s="29"/>
      <c r="BCI24" s="73"/>
      <c r="BCJ24" s="29"/>
      <c r="BCK24" s="29"/>
      <c r="BCL24" s="29"/>
      <c r="BCM24" s="29"/>
      <c r="BCN24" s="29"/>
      <c r="BCO24" s="30"/>
      <c r="BCP24" s="28"/>
      <c r="BCQ24" s="67"/>
      <c r="BCR24" s="67"/>
      <c r="BCS24" s="67"/>
      <c r="BCT24" s="29"/>
      <c r="BCU24" s="131"/>
      <c r="BCV24" s="29"/>
      <c r="BCW24" s="29"/>
      <c r="BCX24" s="29"/>
      <c r="BCY24" s="29"/>
      <c r="BCZ24" s="29"/>
      <c r="BDA24" s="136"/>
      <c r="BDB24" s="29"/>
      <c r="BDC24" s="29"/>
      <c r="BDD24" s="29"/>
      <c r="BDE24" s="29"/>
      <c r="BDF24" s="29"/>
      <c r="BDG24" s="73"/>
      <c r="BDH24" s="29"/>
      <c r="BDI24" s="29"/>
      <c r="BDJ24" s="29"/>
      <c r="BDK24" s="29"/>
      <c r="BDL24" s="29"/>
      <c r="BDM24" s="136"/>
      <c r="BDN24" s="29"/>
      <c r="BDO24" s="29"/>
      <c r="BDP24" s="29"/>
      <c r="BDQ24" s="29"/>
      <c r="BDR24" s="29"/>
      <c r="BDS24" s="73"/>
      <c r="BDT24" s="67"/>
      <c r="BDU24" s="67"/>
      <c r="BDV24" s="67"/>
      <c r="BDW24" s="67"/>
      <c r="BDX24" s="29"/>
      <c r="BDY24" s="136"/>
      <c r="BDZ24" s="29"/>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8"/>
      <c r="BEY24" s="67"/>
      <c r="BEZ24" s="67"/>
      <c r="BFA24" s="67"/>
      <c r="BFB24" s="29"/>
      <c r="BFC24" s="131"/>
      <c r="BFD24" s="29"/>
      <c r="BFE24" s="29"/>
      <c r="BFF24" s="29"/>
      <c r="BFG24" s="29"/>
      <c r="BFH24" s="29"/>
      <c r="BFI24" s="136"/>
      <c r="BFJ24" s="29"/>
      <c r="BFK24" s="29"/>
      <c r="BFL24" s="29"/>
      <c r="BFM24" s="29"/>
      <c r="BFN24" s="29"/>
      <c r="BFO24" s="73"/>
      <c r="BFP24" s="29"/>
      <c r="BFQ24" s="29"/>
      <c r="BFR24" s="29"/>
      <c r="BFS24" s="29"/>
      <c r="BFT24" s="29"/>
      <c r="BFU24" s="136"/>
      <c r="BFV24" s="29"/>
      <c r="BFW24" s="29"/>
      <c r="BFX24" s="29"/>
      <c r="BFY24" s="29"/>
      <c r="BFZ24" s="29"/>
      <c r="BGA24" s="73"/>
      <c r="BGB24" s="67"/>
      <c r="BGC24" s="67"/>
      <c r="BGD24" s="67"/>
      <c r="BGE24" s="67"/>
      <c r="BGF24" s="29"/>
      <c r="BGG24" s="136"/>
      <c r="BGH24" s="29"/>
      <c r="BGI24" s="29"/>
      <c r="BGJ24" s="29"/>
      <c r="BGK24" s="29"/>
      <c r="BGL24" s="29"/>
      <c r="BGM24" s="73"/>
      <c r="BGN24" s="29"/>
      <c r="BGO24" s="29"/>
      <c r="BGP24" s="29"/>
      <c r="BGQ24" s="29"/>
      <c r="BGR24" s="29"/>
      <c r="BGS24" s="136"/>
      <c r="BGT24" s="29"/>
      <c r="BGU24" s="29"/>
      <c r="BGV24" s="29"/>
      <c r="BGW24" s="29"/>
      <c r="BGX24" s="29"/>
      <c r="BGY24" s="73"/>
      <c r="BGZ24" s="29"/>
      <c r="BHA24" s="29"/>
      <c r="BHB24" s="29"/>
      <c r="BHC24" s="29"/>
      <c r="BHD24" s="29"/>
      <c r="BHE24" s="30"/>
      <c r="BHF24" s="28"/>
      <c r="BHG24" s="67"/>
      <c r="BHH24" s="67"/>
      <c r="BHI24" s="67"/>
      <c r="BHJ24" s="29"/>
      <c r="BHK24" s="131"/>
      <c r="BHL24" s="29"/>
      <c r="BHM24" s="29"/>
      <c r="BHN24" s="29"/>
      <c r="BHO24" s="29"/>
      <c r="BHP24" s="29"/>
      <c r="BHQ24" s="136"/>
      <c r="BHR24" s="29"/>
      <c r="BHS24" s="29"/>
      <c r="BHT24" s="29"/>
      <c r="BHU24" s="29"/>
      <c r="BHV24" s="29"/>
      <c r="BHW24" s="73"/>
      <c r="BHX24" s="29"/>
      <c r="BHY24" s="29"/>
      <c r="BHZ24" s="29"/>
      <c r="BIA24" s="29"/>
      <c r="BIB24" s="29"/>
      <c r="BIC24" s="136"/>
      <c r="BID24" s="29"/>
      <c r="BIE24" s="29"/>
      <c r="BIF24" s="29"/>
      <c r="BIG24" s="29"/>
      <c r="BIH24" s="29"/>
      <c r="BII24" s="73"/>
      <c r="BIJ24" s="67"/>
      <c r="BIK24" s="67"/>
      <c r="BIL24" s="67"/>
      <c r="BIM24" s="67"/>
      <c r="BIN24" s="29"/>
      <c r="BIO24" s="136"/>
      <c r="BIP24" s="29"/>
      <c r="BIQ24" s="29"/>
      <c r="BIR24" s="29"/>
      <c r="BIS24" s="29"/>
      <c r="BIT24" s="29"/>
      <c r="BIU24" s="73"/>
      <c r="BIV24" s="29"/>
      <c r="BIW24" s="29"/>
      <c r="BIX24" s="29"/>
      <c r="BIY24" s="29"/>
      <c r="BIZ24" s="29"/>
      <c r="BJA24" s="136"/>
      <c r="BJB24" s="29"/>
      <c r="BJC24" s="29"/>
      <c r="BJD24" s="29"/>
      <c r="BJE24" s="29"/>
      <c r="BJF24" s="29"/>
      <c r="BJG24" s="73"/>
      <c r="BJH24" s="29"/>
      <c r="BJI24" s="29"/>
      <c r="BJJ24" s="29"/>
      <c r="BJK24" s="29"/>
      <c r="BJL24" s="29"/>
      <c r="BJM24" s="30"/>
      <c r="BJN24" s="28"/>
      <c r="BJO24" s="67"/>
      <c r="BJP24" s="67"/>
      <c r="BJQ24" s="67"/>
      <c r="BJR24" s="29"/>
      <c r="BJS24" s="131"/>
      <c r="BJT24" s="29"/>
      <c r="BJU24" s="29"/>
      <c r="BJV24" s="29"/>
      <c r="BJW24" s="29"/>
      <c r="BJX24" s="29"/>
      <c r="BJY24" s="136"/>
      <c r="BJZ24" s="29"/>
      <c r="BKA24" s="29"/>
      <c r="BKB24" s="29"/>
      <c r="BKC24" s="29"/>
      <c r="BKD24" s="29"/>
      <c r="BKE24" s="73"/>
      <c r="BKF24" s="29"/>
      <c r="BKG24" s="29"/>
      <c r="BKH24" s="29"/>
      <c r="BKI24" s="29"/>
      <c r="BKJ24" s="29"/>
      <c r="BKK24" s="136"/>
      <c r="BKL24" s="29"/>
      <c r="BKM24" s="29"/>
      <c r="BKN24" s="29"/>
      <c r="BKO24" s="29"/>
      <c r="BKP24" s="29"/>
      <c r="BKQ24" s="73"/>
      <c r="BKR24" s="67"/>
      <c r="BKS24" s="67"/>
      <c r="BKT24" s="67"/>
      <c r="BKU24" s="67"/>
      <c r="BKV24" s="29"/>
      <c r="BKW24" s="136"/>
      <c r="BKX24" s="29"/>
      <c r="BKY24" s="29"/>
      <c r="BKZ24" s="29"/>
      <c r="BLA24" s="29"/>
      <c r="BLB24" s="29"/>
      <c r="BLC24" s="73"/>
      <c r="BLD24" s="29"/>
      <c r="BLE24" s="29"/>
      <c r="BLF24" s="29"/>
      <c r="BLG24" s="29"/>
      <c r="BLH24" s="29"/>
      <c r="BLI24" s="136"/>
      <c r="BLJ24" s="29"/>
      <c r="BLK24" s="29"/>
      <c r="BLL24" s="29"/>
      <c r="BLM24" s="29"/>
      <c r="BLN24" s="29"/>
      <c r="BLO24" s="73"/>
      <c r="BLP24" s="29"/>
      <c r="BLQ24" s="29"/>
      <c r="BLR24" s="29"/>
      <c r="BLS24" s="29"/>
      <c r="BLT24" s="29"/>
      <c r="BLU24" s="30"/>
      <c r="BLV24" s="90"/>
    </row>
    <row r="25" spans="1:1686" ht="20.100000000000001" customHeight="1" x14ac:dyDescent="0.25">
      <c r="A25" s="100" t="s">
        <v>17</v>
      </c>
      <c r="B25" s="63" t="str">
        <f>IF(LEN(C35)=0,"",C35)</f>
        <v>Réalisation - Validation des champs</v>
      </c>
      <c r="C25" s="205" t="s">
        <v>93</v>
      </c>
      <c r="D25" s="146" t="str">
        <f t="shared" si="0"/>
        <v>2h15min</v>
      </c>
      <c r="E25" s="31">
        <v>27</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165"/>
      <c r="DW25" s="166"/>
      <c r="DX25" s="166"/>
      <c r="DY25" s="166"/>
      <c r="DZ25" s="167"/>
      <c r="EA25" s="168"/>
      <c r="EB25" s="167"/>
      <c r="EC25" s="167"/>
      <c r="ED25" s="167"/>
      <c r="EE25" s="167"/>
      <c r="EF25" s="167"/>
      <c r="EG25" s="181"/>
      <c r="EH25" s="167"/>
      <c r="EI25" s="167"/>
      <c r="EJ25" s="167"/>
      <c r="EK25" s="167"/>
      <c r="EL25" s="167"/>
      <c r="EM25" s="182"/>
      <c r="EN25" s="167"/>
      <c r="EO25" s="167"/>
      <c r="EP25" s="167"/>
      <c r="EQ25" s="167"/>
      <c r="ER25" s="167"/>
      <c r="ES25" s="181"/>
      <c r="ET25" s="167"/>
      <c r="EU25" s="167"/>
      <c r="EV25" s="167"/>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32"/>
      <c r="KU25" s="64"/>
      <c r="KV25" s="64"/>
      <c r="KW25" s="64"/>
      <c r="KX25" s="33"/>
      <c r="KY25" s="132"/>
      <c r="KZ25" s="33"/>
      <c r="LA25" s="33"/>
      <c r="LB25" s="33"/>
      <c r="LC25" s="33"/>
      <c r="LD25" s="33"/>
      <c r="LE25" s="137"/>
      <c r="LF25" s="33"/>
      <c r="LG25" s="33"/>
      <c r="LH25" s="33"/>
      <c r="LI25" s="33"/>
      <c r="LJ25" s="33"/>
      <c r="LK25" s="74"/>
      <c r="LL25" s="33"/>
      <c r="LM25" s="33"/>
      <c r="LN25" s="33"/>
      <c r="LO25" s="33"/>
      <c r="LP25" s="33"/>
      <c r="LQ25" s="137"/>
      <c r="LR25" s="33"/>
      <c r="LS25" s="33"/>
      <c r="LT25" s="33"/>
      <c r="LU25" s="33"/>
      <c r="LV25" s="33"/>
      <c r="LW25" s="74"/>
      <c r="LX25" s="64"/>
      <c r="LY25" s="64"/>
      <c r="LZ25" s="64"/>
      <c r="MA25" s="64"/>
      <c r="MB25" s="33"/>
      <c r="MC25" s="137"/>
      <c r="MD25" s="33"/>
      <c r="ME25" s="33"/>
      <c r="MF25" s="33"/>
      <c r="MG25" s="33"/>
      <c r="MH25" s="33"/>
      <c r="MI25" s="74"/>
      <c r="MJ25" s="33"/>
      <c r="MK25" s="33"/>
      <c r="ML25" s="33"/>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33"/>
      <c r="NY25" s="137"/>
      <c r="NZ25" s="33"/>
      <c r="OA25" s="33"/>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64"/>
      <c r="VG25" s="64"/>
      <c r="VH25" s="33"/>
      <c r="VI25" s="137"/>
      <c r="VJ25" s="33"/>
      <c r="VK25" s="33"/>
      <c r="VL25" s="33"/>
      <c r="VM25" s="33"/>
      <c r="VN25" s="33"/>
      <c r="VO25" s="74"/>
      <c r="VP25" s="33"/>
      <c r="VQ25" s="33"/>
      <c r="VR25" s="33"/>
      <c r="VS25" s="33"/>
      <c r="VT25" s="33"/>
      <c r="VU25" s="137"/>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33"/>
      <c r="XI25" s="33"/>
      <c r="XJ25" s="33"/>
      <c r="XK25" s="74"/>
      <c r="XL25" s="64"/>
      <c r="XM25" s="64"/>
      <c r="XN25" s="64"/>
      <c r="XO25" s="64"/>
      <c r="XP25" s="33"/>
      <c r="XQ25" s="137"/>
      <c r="XR25" s="33"/>
      <c r="XS25" s="3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64"/>
      <c r="AEM25" s="64"/>
      <c r="AEN25" s="33"/>
      <c r="AEO25" s="137"/>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33"/>
      <c r="AJE25" s="137"/>
      <c r="AJF25" s="33"/>
      <c r="AJG25" s="33"/>
      <c r="AJH25" s="33"/>
      <c r="AJI25" s="33"/>
      <c r="AJJ25" s="33"/>
      <c r="AJK25" s="74"/>
      <c r="AJL25" s="33"/>
      <c r="AJM25" s="33"/>
      <c r="AJN25" s="33"/>
      <c r="AJO25" s="33"/>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37"/>
      <c r="ALB25" s="33"/>
      <c r="ALC25" s="33"/>
      <c r="ALD25" s="33"/>
      <c r="ALE25" s="33"/>
      <c r="ALF25" s="33"/>
      <c r="ALG25" s="74"/>
      <c r="ALH25" s="64"/>
      <c r="ALI25" s="64"/>
      <c r="ALJ25" s="64"/>
      <c r="ALK25" s="64"/>
      <c r="ALL25" s="33"/>
      <c r="ALM25" s="137"/>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64"/>
      <c r="ANT25" s="33"/>
      <c r="ANU25" s="137"/>
      <c r="ANV25" s="33"/>
      <c r="ANW25" s="33"/>
      <c r="ANX25" s="33"/>
      <c r="ANY25" s="33"/>
      <c r="ANZ25" s="33"/>
      <c r="AOA25" s="74"/>
      <c r="AOB25" s="33"/>
      <c r="AOC25" s="33"/>
      <c r="AOD25" s="33"/>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74"/>
      <c r="AQJ25" s="33"/>
      <c r="AQK25" s="33"/>
      <c r="AQL25" s="33"/>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37"/>
      <c r="AUH25" s="33"/>
      <c r="AUI25" s="33"/>
      <c r="AUJ25" s="33"/>
      <c r="AUK25" s="33"/>
      <c r="AUL25" s="33"/>
      <c r="AUM25" s="74"/>
      <c r="AUN25" s="64"/>
      <c r="AUO25" s="64"/>
      <c r="AUP25" s="64"/>
      <c r="AUQ25" s="64"/>
      <c r="AUR25" s="33"/>
      <c r="AUS25" s="137"/>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33"/>
      <c r="AXA25" s="137"/>
      <c r="AXB25" s="33"/>
      <c r="AXC25" s="33"/>
      <c r="AXD25" s="33"/>
      <c r="AXE25" s="33"/>
      <c r="AXF25" s="33"/>
      <c r="AXG25" s="74"/>
      <c r="AXH25" s="33"/>
      <c r="AXI25" s="33"/>
      <c r="AXJ25" s="33"/>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74"/>
      <c r="BBX25" s="33"/>
      <c r="BBY25" s="33"/>
      <c r="BBZ25" s="33"/>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32"/>
      <c r="BEY25" s="64"/>
      <c r="BEZ25" s="64"/>
      <c r="BFA25" s="64"/>
      <c r="BFB25" s="33"/>
      <c r="BFC25" s="132"/>
      <c r="BFD25" s="33"/>
      <c r="BFE25" s="33"/>
      <c r="BFF25" s="33"/>
      <c r="BFG25" s="33"/>
      <c r="BFH25" s="33"/>
      <c r="BFI25" s="137"/>
      <c r="BFJ25" s="33"/>
      <c r="BFK25" s="33"/>
      <c r="BFL25" s="33"/>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33"/>
      <c r="BGI25" s="33"/>
      <c r="BGJ25" s="33"/>
      <c r="BGK25" s="33"/>
      <c r="BGL25" s="33"/>
      <c r="BGM25" s="74"/>
      <c r="BGN25" s="33"/>
      <c r="BGO25" s="33"/>
      <c r="BGP25" s="33"/>
      <c r="BGQ25" s="33"/>
      <c r="BGR25" s="33"/>
      <c r="BGS25" s="137"/>
      <c r="BGT25" s="33"/>
      <c r="BGU25" s="33"/>
      <c r="BGV25" s="33"/>
      <c r="BGW25" s="33"/>
      <c r="BGX25" s="33"/>
      <c r="BGY25" s="74"/>
      <c r="BGZ25" s="33"/>
      <c r="BHA25" s="33"/>
      <c r="BHB25" s="33"/>
      <c r="BHC25" s="33"/>
      <c r="BHD25" s="33"/>
      <c r="BHE25" s="34"/>
      <c r="BHF25" s="32"/>
      <c r="BHG25" s="64"/>
      <c r="BHH25" s="64"/>
      <c r="BHI25" s="64"/>
      <c r="BHJ25" s="33"/>
      <c r="BHK25" s="132"/>
      <c r="BHL25" s="33"/>
      <c r="BHM25" s="33"/>
      <c r="BHN25" s="33"/>
      <c r="BHO25" s="33"/>
      <c r="BHP25" s="33"/>
      <c r="BHQ25" s="137"/>
      <c r="BHR25" s="33"/>
      <c r="BHS25" s="33"/>
      <c r="BHT25" s="33"/>
      <c r="BHU25" s="33"/>
      <c r="BHV25" s="33"/>
      <c r="BHW25" s="74"/>
      <c r="BHX25" s="33"/>
      <c r="BHY25" s="33"/>
      <c r="BHZ25" s="33"/>
      <c r="BIA25" s="33"/>
      <c r="BIB25" s="33"/>
      <c r="BIC25" s="137"/>
      <c r="BID25" s="33"/>
      <c r="BIE25" s="33"/>
      <c r="BIF25" s="33"/>
      <c r="BIG25" s="33"/>
      <c r="BIH25" s="33"/>
      <c r="BII25" s="74"/>
      <c r="BIJ25" s="64"/>
      <c r="BIK25" s="64"/>
      <c r="BIL25" s="64"/>
      <c r="BIM25" s="64"/>
      <c r="BIN25" s="33"/>
      <c r="BIO25" s="137"/>
      <c r="BIP25" s="33"/>
      <c r="BIQ25" s="33"/>
      <c r="BIR25" s="33"/>
      <c r="BIS25" s="33"/>
      <c r="BIT25" s="33"/>
      <c r="BIU25" s="74"/>
      <c r="BIV25" s="33"/>
      <c r="BIW25" s="33"/>
      <c r="BIX25" s="33"/>
      <c r="BIY25" s="33"/>
      <c r="BIZ25" s="33"/>
      <c r="BJA25" s="137"/>
      <c r="BJB25" s="33"/>
      <c r="BJC25" s="33"/>
      <c r="BJD25" s="33"/>
      <c r="BJE25" s="33"/>
      <c r="BJF25" s="33"/>
      <c r="BJG25" s="74"/>
      <c r="BJH25" s="33"/>
      <c r="BJI25" s="33"/>
      <c r="BJJ25" s="33"/>
      <c r="BJK25" s="33"/>
      <c r="BJL25" s="33"/>
      <c r="BJM25" s="34"/>
      <c r="BJN25" s="32"/>
      <c r="BJO25" s="64"/>
      <c r="BJP25" s="64"/>
      <c r="BJQ25" s="64"/>
      <c r="BJR25" s="33"/>
      <c r="BJS25" s="132"/>
      <c r="BJT25" s="33"/>
      <c r="BJU25" s="33"/>
      <c r="BJV25" s="33"/>
      <c r="BJW25" s="33"/>
      <c r="BJX25" s="33"/>
      <c r="BJY25" s="137"/>
      <c r="BJZ25" s="33"/>
      <c r="BKA25" s="33"/>
      <c r="BKB25" s="33"/>
      <c r="BKC25" s="33"/>
      <c r="BKD25" s="33"/>
      <c r="BKE25" s="74"/>
      <c r="BKF25" s="33"/>
      <c r="BKG25" s="33"/>
      <c r="BKH25" s="33"/>
      <c r="BKI25" s="33"/>
      <c r="BKJ25" s="33"/>
      <c r="BKK25" s="137"/>
      <c r="BKL25" s="33"/>
      <c r="BKM25" s="33"/>
      <c r="BKN25" s="33"/>
      <c r="BKO25" s="33"/>
      <c r="BKP25" s="33"/>
      <c r="BKQ25" s="74"/>
      <c r="BKR25" s="64"/>
      <c r="BKS25" s="64"/>
      <c r="BKT25" s="64"/>
      <c r="BKU25" s="64"/>
      <c r="BKV25" s="33"/>
      <c r="BKW25" s="137"/>
      <c r="BKX25" s="33"/>
      <c r="BKY25" s="33"/>
      <c r="BKZ25" s="33"/>
      <c r="BLA25" s="33"/>
      <c r="BLB25" s="33"/>
      <c r="BLC25" s="74"/>
      <c r="BLD25" s="33"/>
      <c r="BLE25" s="33"/>
      <c r="BLF25" s="33"/>
      <c r="BLG25" s="33"/>
      <c r="BLH25" s="33"/>
      <c r="BLI25" s="137"/>
      <c r="BLJ25" s="33"/>
      <c r="BLK25" s="33"/>
      <c r="BLL25" s="33"/>
      <c r="BLM25" s="33"/>
      <c r="BLN25" s="33"/>
      <c r="BLO25" s="74"/>
      <c r="BLP25" s="33"/>
      <c r="BLQ25" s="33"/>
      <c r="BLR25" s="33"/>
      <c r="BLS25" s="33"/>
      <c r="BLT25" s="33"/>
      <c r="BLU25" s="34"/>
      <c r="BLV25" s="90"/>
    </row>
    <row r="26" spans="1:1686" ht="20.100000000000001" customHeight="1" x14ac:dyDescent="0.3">
      <c r="A26" s="100" t="s">
        <v>18</v>
      </c>
      <c r="B26" s="63" t="str">
        <f>IF(LEN(C37)=0,"",C37)</f>
        <v>Réalisation - Requêtes SQL</v>
      </c>
      <c r="C26" s="207"/>
      <c r="D26" s="148" t="str">
        <f t="shared" si="0"/>
        <v>0h</v>
      </c>
      <c r="E26" s="35">
        <v>0</v>
      </c>
      <c r="F26" s="36"/>
      <c r="G26" s="65"/>
      <c r="H26" s="65"/>
      <c r="I26" s="65"/>
      <c r="J26" s="37"/>
      <c r="K26" s="133"/>
      <c r="L26" s="37"/>
      <c r="M26" s="37"/>
      <c r="N26" s="37"/>
      <c r="O26" s="37"/>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37"/>
      <c r="UZ26" s="37"/>
      <c r="VA26" s="37"/>
      <c r="VB26" s="37"/>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33"/>
      <c r="WN26" s="37"/>
      <c r="WO26" s="37"/>
      <c r="WP26" s="37"/>
      <c r="WQ26" s="37"/>
      <c r="WR26" s="37"/>
      <c r="WS26" s="138"/>
      <c r="WT26" s="37"/>
      <c r="WU26" s="37"/>
      <c r="WV26" s="37"/>
      <c r="WW26" s="37"/>
      <c r="WX26" s="37"/>
      <c r="WY26" s="75"/>
      <c r="WZ26" s="37"/>
      <c r="XA26" s="37"/>
      <c r="XB26" s="37"/>
      <c r="XC26" s="37"/>
      <c r="XD26" s="37"/>
      <c r="XE26" s="138"/>
      <c r="XF26" s="37"/>
      <c r="XG26" s="37"/>
      <c r="XH26" s="37"/>
      <c r="XI26" s="37"/>
      <c r="XJ26" s="37"/>
      <c r="XK26" s="75"/>
      <c r="XL26" s="65"/>
      <c r="XM26" s="65"/>
      <c r="XN26" s="65"/>
      <c r="XO26" s="65"/>
      <c r="XP26" s="37"/>
      <c r="XQ26" s="138"/>
      <c r="XR26" s="37"/>
      <c r="XS26" s="37"/>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65"/>
      <c r="YS26" s="65"/>
      <c r="YT26" s="37"/>
      <c r="YU26" s="133"/>
      <c r="YV26" s="37"/>
      <c r="YW26" s="37"/>
      <c r="YX26" s="37"/>
      <c r="YY26" s="37"/>
      <c r="YZ26" s="37"/>
      <c r="ZA26" s="138"/>
      <c r="ZB26" s="37"/>
      <c r="ZC26" s="37"/>
      <c r="ZD26" s="37"/>
      <c r="ZE26" s="37"/>
      <c r="ZF26" s="37"/>
      <c r="ZG26" s="75"/>
      <c r="ZH26" s="37"/>
      <c r="ZI26" s="37"/>
      <c r="ZJ26" s="37"/>
      <c r="ZK26" s="37"/>
      <c r="ZL26" s="37"/>
      <c r="ZM26" s="138"/>
      <c r="ZN26" s="37"/>
      <c r="ZO26" s="37"/>
      <c r="ZP26" s="37"/>
      <c r="ZQ26" s="37"/>
      <c r="ZR26" s="37"/>
      <c r="ZS26" s="75"/>
      <c r="ZT26" s="6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65"/>
      <c r="AOX26" s="37"/>
      <c r="AOY26" s="133"/>
      <c r="AOZ26" s="37"/>
      <c r="APA26" s="37"/>
      <c r="APB26" s="37"/>
      <c r="APC26" s="37"/>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36"/>
      <c r="BHG26" s="65"/>
      <c r="BHH26" s="65"/>
      <c r="BHI26" s="65"/>
      <c r="BHJ26" s="37"/>
      <c r="BHK26" s="133"/>
      <c r="BHL26" s="37"/>
      <c r="BHM26" s="37"/>
      <c r="BHN26" s="37"/>
      <c r="BHO26" s="37"/>
      <c r="BHP26" s="37"/>
      <c r="BHQ26" s="138"/>
      <c r="BHR26" s="37"/>
      <c r="BHS26" s="37"/>
      <c r="BHT26" s="37"/>
      <c r="BHU26" s="37"/>
      <c r="BHV26" s="37"/>
      <c r="BHW26" s="75"/>
      <c r="BHX26" s="37"/>
      <c r="BHY26" s="37"/>
      <c r="BHZ26" s="37"/>
      <c r="BIA26" s="37"/>
      <c r="BIB26" s="37"/>
      <c r="BIC26" s="138"/>
      <c r="BID26" s="37"/>
      <c r="BIE26" s="37"/>
      <c r="BIF26" s="37"/>
      <c r="BIG26" s="37"/>
      <c r="BIH26" s="37"/>
      <c r="BII26" s="75"/>
      <c r="BIJ26" s="65"/>
      <c r="BIK26" s="65"/>
      <c r="BIL26" s="65"/>
      <c r="BIM26" s="65"/>
      <c r="BIN26" s="37"/>
      <c r="BIO26" s="138"/>
      <c r="BIP26" s="37"/>
      <c r="BIQ26" s="37"/>
      <c r="BIR26" s="37"/>
      <c r="BIS26" s="37"/>
      <c r="BIT26" s="37"/>
      <c r="BIU26" s="75"/>
      <c r="BIV26" s="37"/>
      <c r="BIW26" s="37"/>
      <c r="BIX26" s="37"/>
      <c r="BIY26" s="37"/>
      <c r="BIZ26" s="37"/>
      <c r="BJA26" s="138"/>
      <c r="BJB26" s="37"/>
      <c r="BJC26" s="37"/>
      <c r="BJD26" s="37"/>
      <c r="BJE26" s="37"/>
      <c r="BJF26" s="37"/>
      <c r="BJG26" s="75"/>
      <c r="BJH26" s="37"/>
      <c r="BJI26" s="37"/>
      <c r="BJJ26" s="37"/>
      <c r="BJK26" s="37"/>
      <c r="BJL26" s="37"/>
      <c r="BJM26" s="38"/>
      <c r="BJN26" s="36"/>
      <c r="BJO26" s="65"/>
      <c r="BJP26" s="65"/>
      <c r="BJQ26" s="65"/>
      <c r="BJR26" s="37"/>
      <c r="BJS26" s="133"/>
      <c r="BJT26" s="37"/>
      <c r="BJU26" s="37"/>
      <c r="BJV26" s="37"/>
      <c r="BJW26" s="37"/>
      <c r="BJX26" s="37"/>
      <c r="BJY26" s="138"/>
      <c r="BJZ26" s="37"/>
      <c r="BKA26" s="37"/>
      <c r="BKB26" s="37"/>
      <c r="BKC26" s="37"/>
      <c r="BKD26" s="37"/>
      <c r="BKE26" s="75"/>
      <c r="BKF26" s="37"/>
      <c r="BKG26" s="37"/>
      <c r="BKH26" s="37"/>
      <c r="BKI26" s="37"/>
      <c r="BKJ26" s="37"/>
      <c r="BKK26" s="138"/>
      <c r="BKL26" s="37"/>
      <c r="BKM26" s="37"/>
      <c r="BKN26" s="37"/>
      <c r="BKO26" s="37"/>
      <c r="BKP26" s="37"/>
      <c r="BKQ26" s="75"/>
      <c r="BKR26" s="65"/>
      <c r="BKS26" s="65"/>
      <c r="BKT26" s="65"/>
      <c r="BKU26" s="65"/>
      <c r="BKV26" s="37"/>
      <c r="BKW26" s="138"/>
      <c r="BKX26" s="37"/>
      <c r="BKY26" s="37"/>
      <c r="BKZ26" s="37"/>
      <c r="BLA26" s="37"/>
      <c r="BLB26" s="37"/>
      <c r="BLC26" s="75"/>
      <c r="BLD26" s="37"/>
      <c r="BLE26" s="37"/>
      <c r="BLF26" s="37"/>
      <c r="BLG26" s="37"/>
      <c r="BLH26" s="37"/>
      <c r="BLI26" s="138"/>
      <c r="BLJ26" s="37"/>
      <c r="BLK26" s="37"/>
      <c r="BLL26" s="37"/>
      <c r="BLM26" s="37"/>
      <c r="BLN26" s="37"/>
      <c r="BLO26" s="75"/>
      <c r="BLP26" s="37"/>
      <c r="BLQ26" s="37"/>
      <c r="BLR26" s="37"/>
      <c r="BLS26" s="37"/>
      <c r="BLT26" s="37"/>
      <c r="BLU26" s="38"/>
      <c r="BLV26" s="90"/>
    </row>
    <row r="27" spans="1:1686" ht="20.100000000000001" customHeight="1" x14ac:dyDescent="0.25">
      <c r="A27" s="100" t="s">
        <v>17</v>
      </c>
      <c r="B27" s="63" t="str">
        <f>IF(LEN(C39)=0,"",C39)</f>
        <v>Réalisation - Authentification</v>
      </c>
      <c r="C27" s="205" t="s">
        <v>94</v>
      </c>
      <c r="D27" s="146" t="str">
        <f t="shared" si="0"/>
        <v>2h25min</v>
      </c>
      <c r="E27" s="39">
        <v>29</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175"/>
      <c r="GE27" s="176"/>
      <c r="GF27" s="176"/>
      <c r="GG27" s="176"/>
      <c r="GH27" s="177"/>
      <c r="GI27" s="178"/>
      <c r="GJ27" s="177"/>
      <c r="GK27" s="177"/>
      <c r="GL27" s="177"/>
      <c r="GM27" s="177"/>
      <c r="GN27" s="177"/>
      <c r="GO27" s="179"/>
      <c r="GP27" s="177"/>
      <c r="GQ27" s="177"/>
      <c r="GR27" s="177"/>
      <c r="GS27" s="177"/>
      <c r="GT27" s="177"/>
      <c r="GU27" s="180"/>
      <c r="GV27" s="177"/>
      <c r="GW27" s="177"/>
      <c r="GX27" s="177"/>
      <c r="GY27" s="177"/>
      <c r="GZ27" s="177"/>
      <c r="HA27" s="179"/>
      <c r="HB27" s="177"/>
      <c r="HC27" s="177"/>
      <c r="HD27" s="177"/>
      <c r="HE27" s="177"/>
      <c r="HF27" s="177"/>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41"/>
      <c r="IS27" s="41"/>
      <c r="IT27" s="41"/>
      <c r="IU27" s="41"/>
      <c r="IV27" s="41"/>
      <c r="IW27" s="139"/>
      <c r="IX27" s="41"/>
      <c r="IY27" s="41"/>
      <c r="IZ27" s="41"/>
      <c r="JA27" s="41"/>
      <c r="JB27" s="41"/>
      <c r="JC27" s="76"/>
      <c r="JD27" s="41"/>
      <c r="JE27" s="41"/>
      <c r="JF27" s="41"/>
      <c r="JG27" s="41"/>
      <c r="JH27" s="41"/>
      <c r="JI27" s="139"/>
      <c r="JJ27" s="41"/>
      <c r="JK27" s="41"/>
      <c r="JL27" s="41"/>
      <c r="JM27" s="41"/>
      <c r="JN27" s="41"/>
      <c r="JO27" s="76"/>
      <c r="JP27" s="66"/>
      <c r="JQ27" s="66"/>
      <c r="JR27" s="66"/>
      <c r="JS27" s="66"/>
      <c r="JT27" s="41"/>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40"/>
      <c r="KU27" s="66"/>
      <c r="KV27" s="66"/>
      <c r="KW27" s="66"/>
      <c r="KX27" s="41"/>
      <c r="KY27" s="134"/>
      <c r="KZ27" s="41"/>
      <c r="LA27" s="41"/>
      <c r="LB27" s="41"/>
      <c r="LC27" s="41"/>
      <c r="LD27" s="41"/>
      <c r="LE27" s="139"/>
      <c r="LF27" s="41"/>
      <c r="LG27" s="41"/>
      <c r="LH27" s="41"/>
      <c r="LI27" s="41"/>
      <c r="LJ27" s="41"/>
      <c r="LK27" s="76"/>
      <c r="LL27" s="41"/>
      <c r="LM27" s="41"/>
      <c r="LN27" s="41"/>
      <c r="LO27" s="41"/>
      <c r="LP27" s="41"/>
      <c r="LQ27" s="139"/>
      <c r="LR27" s="41"/>
      <c r="LS27" s="41"/>
      <c r="LT27" s="41"/>
      <c r="LU27" s="41"/>
      <c r="LV27" s="41"/>
      <c r="LW27" s="76"/>
      <c r="LX27" s="66"/>
      <c r="LY27" s="66"/>
      <c r="LZ27" s="66"/>
      <c r="MA27" s="66"/>
      <c r="MB27" s="41"/>
      <c r="MC27" s="139"/>
      <c r="MD27" s="41"/>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66"/>
      <c r="OH27" s="66"/>
      <c r="OI27" s="66"/>
      <c r="OJ27" s="41"/>
      <c r="OK27" s="139"/>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66"/>
      <c r="QQ27" s="66"/>
      <c r="QR27" s="41"/>
      <c r="QS27" s="139"/>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40"/>
      <c r="YQ27" s="66"/>
      <c r="YR27" s="66"/>
      <c r="YS27" s="66"/>
      <c r="YT27" s="41"/>
      <c r="YU27" s="134"/>
      <c r="YV27" s="41"/>
      <c r="YW27" s="41"/>
      <c r="YX27" s="41"/>
      <c r="YY27" s="41"/>
      <c r="YZ27" s="41"/>
      <c r="ZA27" s="139"/>
      <c r="ZB27" s="41"/>
      <c r="ZC27" s="41"/>
      <c r="ZD27" s="41"/>
      <c r="ZE27" s="41"/>
      <c r="ZF27" s="41"/>
      <c r="ZG27" s="76"/>
      <c r="ZH27" s="41"/>
      <c r="ZI27" s="41"/>
      <c r="ZJ27" s="41"/>
      <c r="ZK27" s="41"/>
      <c r="ZL27" s="41"/>
      <c r="ZM27" s="139"/>
      <c r="ZN27" s="41"/>
      <c r="ZO27" s="41"/>
      <c r="ZP27" s="41"/>
      <c r="ZQ27" s="41"/>
      <c r="ZR27" s="41"/>
      <c r="ZS27" s="76"/>
      <c r="ZT27" s="66"/>
      <c r="ZU27" s="66"/>
      <c r="ZV27" s="66"/>
      <c r="ZW27" s="66"/>
      <c r="ZX27" s="41"/>
      <c r="ZY27" s="139"/>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41"/>
      <c r="BGI27" s="41"/>
      <c r="BGJ27" s="41"/>
      <c r="BGK27" s="41"/>
      <c r="BGL27" s="41"/>
      <c r="BGM27" s="76"/>
      <c r="BGN27" s="41"/>
      <c r="BGO27" s="41"/>
      <c r="BGP27" s="41"/>
      <c r="BGQ27" s="41"/>
      <c r="BGR27" s="41"/>
      <c r="BGS27" s="139"/>
      <c r="BGT27" s="41"/>
      <c r="BGU27" s="41"/>
      <c r="BGV27" s="41"/>
      <c r="BGW27" s="41"/>
      <c r="BGX27" s="41"/>
      <c r="BGY27" s="76"/>
      <c r="BGZ27" s="41"/>
      <c r="BHA27" s="41"/>
      <c r="BHB27" s="41"/>
      <c r="BHC27" s="41"/>
      <c r="BHD27" s="41"/>
      <c r="BHE27" s="42"/>
      <c r="BHF27" s="40"/>
      <c r="BHG27" s="66"/>
      <c r="BHH27" s="66"/>
      <c r="BHI27" s="66"/>
      <c r="BHJ27" s="41"/>
      <c r="BHK27" s="134"/>
      <c r="BHL27" s="41"/>
      <c r="BHM27" s="41"/>
      <c r="BHN27" s="41"/>
      <c r="BHO27" s="41"/>
      <c r="BHP27" s="41"/>
      <c r="BHQ27" s="139"/>
      <c r="BHR27" s="41"/>
      <c r="BHS27" s="41"/>
      <c r="BHT27" s="41"/>
      <c r="BHU27" s="41"/>
      <c r="BHV27" s="41"/>
      <c r="BHW27" s="76"/>
      <c r="BHX27" s="41"/>
      <c r="BHY27" s="41"/>
      <c r="BHZ27" s="41"/>
      <c r="BIA27" s="41"/>
      <c r="BIB27" s="41"/>
      <c r="BIC27" s="139"/>
      <c r="BID27" s="41"/>
      <c r="BIE27" s="41"/>
      <c r="BIF27" s="41"/>
      <c r="BIG27" s="41"/>
      <c r="BIH27" s="41"/>
      <c r="BII27" s="76"/>
      <c r="BIJ27" s="66"/>
      <c r="BIK27" s="66"/>
      <c r="BIL27" s="66"/>
      <c r="BIM27" s="66"/>
      <c r="BIN27" s="41"/>
      <c r="BIO27" s="139"/>
      <c r="BIP27" s="41"/>
      <c r="BIQ27" s="41"/>
      <c r="BIR27" s="41"/>
      <c r="BIS27" s="41"/>
      <c r="BIT27" s="41"/>
      <c r="BIU27" s="76"/>
      <c r="BIV27" s="41"/>
      <c r="BIW27" s="41"/>
      <c r="BIX27" s="41"/>
      <c r="BIY27" s="41"/>
      <c r="BIZ27" s="41"/>
      <c r="BJA27" s="139"/>
      <c r="BJB27" s="41"/>
      <c r="BJC27" s="41"/>
      <c r="BJD27" s="41"/>
      <c r="BJE27" s="41"/>
      <c r="BJF27" s="41"/>
      <c r="BJG27" s="76"/>
      <c r="BJH27" s="41"/>
      <c r="BJI27" s="41"/>
      <c r="BJJ27" s="41"/>
      <c r="BJK27" s="41"/>
      <c r="BJL27" s="41"/>
      <c r="BJM27" s="42"/>
      <c r="BJN27" s="40"/>
      <c r="BJO27" s="66"/>
      <c r="BJP27" s="66"/>
      <c r="BJQ27" s="66"/>
      <c r="BJR27" s="41"/>
      <c r="BJS27" s="134"/>
      <c r="BJT27" s="41"/>
      <c r="BJU27" s="41"/>
      <c r="BJV27" s="41"/>
      <c r="BJW27" s="41"/>
      <c r="BJX27" s="41"/>
      <c r="BJY27" s="139"/>
      <c r="BJZ27" s="41"/>
      <c r="BKA27" s="41"/>
      <c r="BKB27" s="41"/>
      <c r="BKC27" s="41"/>
      <c r="BKD27" s="41"/>
      <c r="BKE27" s="76"/>
      <c r="BKF27" s="41"/>
      <c r="BKG27" s="41"/>
      <c r="BKH27" s="41"/>
      <c r="BKI27" s="41"/>
      <c r="BKJ27" s="41"/>
      <c r="BKK27" s="139"/>
      <c r="BKL27" s="41"/>
      <c r="BKM27" s="41"/>
      <c r="BKN27" s="41"/>
      <c r="BKO27" s="41"/>
      <c r="BKP27" s="41"/>
      <c r="BKQ27" s="76"/>
      <c r="BKR27" s="66"/>
      <c r="BKS27" s="66"/>
      <c r="BKT27" s="66"/>
      <c r="BKU27" s="66"/>
      <c r="BKV27" s="41"/>
      <c r="BKW27" s="139"/>
      <c r="BKX27" s="41"/>
      <c r="BKY27" s="41"/>
      <c r="BKZ27" s="41"/>
      <c r="BLA27" s="41"/>
      <c r="BLB27" s="41"/>
      <c r="BLC27" s="76"/>
      <c r="BLD27" s="41"/>
      <c r="BLE27" s="41"/>
      <c r="BLF27" s="41"/>
      <c r="BLG27" s="41"/>
      <c r="BLH27" s="41"/>
      <c r="BLI27" s="139"/>
      <c r="BLJ27" s="41"/>
      <c r="BLK27" s="41"/>
      <c r="BLL27" s="41"/>
      <c r="BLM27" s="41"/>
      <c r="BLN27" s="41"/>
      <c r="BLO27" s="76"/>
      <c r="BLP27" s="41"/>
      <c r="BLQ27" s="41"/>
      <c r="BLR27" s="41"/>
      <c r="BLS27" s="41"/>
      <c r="BLT27" s="41"/>
      <c r="BLU27" s="42"/>
      <c r="BLV27" s="90"/>
    </row>
    <row r="28" spans="1:1686" ht="20.100000000000001" customHeight="1" x14ac:dyDescent="0.3">
      <c r="A28" s="100" t="s">
        <v>18</v>
      </c>
      <c r="B28" s="63" t="str">
        <f>IF(LEN(C41)=0,"",C41)</f>
        <v>Réalisation - Tests</v>
      </c>
      <c r="C28" s="207"/>
      <c r="D28" s="148" t="str">
        <f t="shared" si="0"/>
        <v>0h</v>
      </c>
      <c r="E28" s="27">
        <v>0</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9"/>
      <c r="GU28" s="73"/>
      <c r="GV28" s="29"/>
      <c r="GW28" s="29"/>
      <c r="GX28" s="29"/>
      <c r="GY28" s="29"/>
      <c r="GZ28" s="29"/>
      <c r="HA28" s="136"/>
      <c r="HB28" s="29"/>
      <c r="HC28" s="29"/>
      <c r="HD28" s="29"/>
      <c r="HE28" s="29"/>
      <c r="HF28" s="29"/>
      <c r="HG28" s="73"/>
      <c r="HH28" s="67"/>
      <c r="HI28" s="67"/>
      <c r="HJ28" s="67"/>
      <c r="HK28" s="67"/>
      <c r="HL28" s="29"/>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9"/>
      <c r="LC28" s="29"/>
      <c r="LD28" s="29"/>
      <c r="LE28" s="136"/>
      <c r="LF28" s="29"/>
      <c r="LG28" s="29"/>
      <c r="LH28" s="29"/>
      <c r="LI28" s="29"/>
      <c r="LJ28" s="29"/>
      <c r="LK28" s="73"/>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28"/>
      <c r="BHG28" s="67"/>
      <c r="BHH28" s="67"/>
      <c r="BHI28" s="67"/>
      <c r="BHJ28" s="29"/>
      <c r="BHK28" s="131"/>
      <c r="BHL28" s="29"/>
      <c r="BHM28" s="29"/>
      <c r="BHN28" s="29"/>
      <c r="BHO28" s="29"/>
      <c r="BHP28" s="29"/>
      <c r="BHQ28" s="136"/>
      <c r="BHR28" s="29"/>
      <c r="BHS28" s="29"/>
      <c r="BHT28" s="29"/>
      <c r="BHU28" s="29"/>
      <c r="BHV28" s="29"/>
      <c r="BHW28" s="73"/>
      <c r="BHX28" s="29"/>
      <c r="BHY28" s="29"/>
      <c r="BHZ28" s="29"/>
      <c r="BIA28" s="29"/>
      <c r="BIB28" s="29"/>
      <c r="BIC28" s="136"/>
      <c r="BID28" s="29"/>
      <c r="BIE28" s="29"/>
      <c r="BIF28" s="29"/>
      <c r="BIG28" s="29"/>
      <c r="BIH28" s="29"/>
      <c r="BII28" s="73"/>
      <c r="BIJ28" s="67"/>
      <c r="BIK28" s="67"/>
      <c r="BIL28" s="67"/>
      <c r="BIM28" s="67"/>
      <c r="BIN28" s="29"/>
      <c r="BIO28" s="136"/>
      <c r="BIP28" s="29"/>
      <c r="BIQ28" s="29"/>
      <c r="BIR28" s="29"/>
      <c r="BIS28" s="29"/>
      <c r="BIT28" s="29"/>
      <c r="BIU28" s="73"/>
      <c r="BIV28" s="29"/>
      <c r="BIW28" s="29"/>
      <c r="BIX28" s="29"/>
      <c r="BIY28" s="29"/>
      <c r="BIZ28" s="29"/>
      <c r="BJA28" s="136"/>
      <c r="BJB28" s="29"/>
      <c r="BJC28" s="29"/>
      <c r="BJD28" s="29"/>
      <c r="BJE28" s="29"/>
      <c r="BJF28" s="29"/>
      <c r="BJG28" s="73"/>
      <c r="BJH28" s="29"/>
      <c r="BJI28" s="29"/>
      <c r="BJJ28" s="29"/>
      <c r="BJK28" s="29"/>
      <c r="BJL28" s="29"/>
      <c r="BJM28" s="30"/>
      <c r="BJN28" s="28"/>
      <c r="BJO28" s="67"/>
      <c r="BJP28" s="67"/>
      <c r="BJQ28" s="67"/>
      <c r="BJR28" s="29"/>
      <c r="BJS28" s="131"/>
      <c r="BJT28" s="29"/>
      <c r="BJU28" s="29"/>
      <c r="BJV28" s="29"/>
      <c r="BJW28" s="29"/>
      <c r="BJX28" s="29"/>
      <c r="BJY28" s="136"/>
      <c r="BJZ28" s="29"/>
      <c r="BKA28" s="29"/>
      <c r="BKB28" s="29"/>
      <c r="BKC28" s="29"/>
      <c r="BKD28" s="29"/>
      <c r="BKE28" s="73"/>
      <c r="BKF28" s="29"/>
      <c r="BKG28" s="29"/>
      <c r="BKH28" s="29"/>
      <c r="BKI28" s="29"/>
      <c r="BKJ28" s="29"/>
      <c r="BKK28" s="136"/>
      <c r="BKL28" s="29"/>
      <c r="BKM28" s="29"/>
      <c r="BKN28" s="29"/>
      <c r="BKO28" s="29"/>
      <c r="BKP28" s="29"/>
      <c r="BKQ28" s="73"/>
      <c r="BKR28" s="67"/>
      <c r="BKS28" s="67"/>
      <c r="BKT28" s="67"/>
      <c r="BKU28" s="67"/>
      <c r="BKV28" s="29"/>
      <c r="BKW28" s="136"/>
      <c r="BKX28" s="29"/>
      <c r="BKY28" s="29"/>
      <c r="BKZ28" s="29"/>
      <c r="BLA28" s="29"/>
      <c r="BLB28" s="29"/>
      <c r="BLC28" s="73"/>
      <c r="BLD28" s="29"/>
      <c r="BLE28" s="29"/>
      <c r="BLF28" s="29"/>
      <c r="BLG28" s="29"/>
      <c r="BLH28" s="29"/>
      <c r="BLI28" s="136"/>
      <c r="BLJ28" s="29"/>
      <c r="BLK28" s="29"/>
      <c r="BLL28" s="29"/>
      <c r="BLM28" s="29"/>
      <c r="BLN28" s="29"/>
      <c r="BLO28" s="73"/>
      <c r="BLP28" s="29"/>
      <c r="BLQ28" s="29"/>
      <c r="BLR28" s="29"/>
      <c r="BLS28" s="29"/>
      <c r="BLT28" s="29"/>
      <c r="BLU28" s="30"/>
      <c r="BLV28" s="90"/>
    </row>
    <row r="29" spans="1:1686" ht="20.100000000000001" customHeight="1" x14ac:dyDescent="0.25">
      <c r="A29" s="100" t="s">
        <v>17</v>
      </c>
      <c r="B29" s="63" t="str">
        <f>IF(LEN(C43)=0,"",C43)</f>
        <v>Optimisation</v>
      </c>
      <c r="C29" s="205" t="s">
        <v>97</v>
      </c>
      <c r="D29" s="146" t="str">
        <f t="shared" si="0"/>
        <v>1h10min</v>
      </c>
      <c r="E29" s="31">
        <v>14</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165"/>
      <c r="IM29" s="166"/>
      <c r="IN29" s="166"/>
      <c r="IO29" s="166"/>
      <c r="IP29" s="167"/>
      <c r="IQ29" s="168"/>
      <c r="IR29" s="167"/>
      <c r="IS29" s="167"/>
      <c r="IT29" s="167"/>
      <c r="IU29" s="167"/>
      <c r="IV29" s="167"/>
      <c r="IW29" s="181"/>
      <c r="IX29" s="167"/>
      <c r="IY29" s="167"/>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33"/>
      <c r="LS29" s="33"/>
      <c r="LT29" s="33"/>
      <c r="LU29" s="33"/>
      <c r="LV29" s="33"/>
      <c r="LW29" s="74"/>
      <c r="LX29" s="64"/>
      <c r="LY29" s="64"/>
      <c r="LZ29" s="64"/>
      <c r="MA29" s="64"/>
      <c r="MB29" s="33"/>
      <c r="MC29" s="137"/>
      <c r="MD29" s="33"/>
      <c r="ME29" s="33"/>
      <c r="MF29" s="33"/>
      <c r="MG29" s="33"/>
      <c r="MH29" s="33"/>
      <c r="MI29" s="74"/>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64"/>
      <c r="OJ29" s="33"/>
      <c r="OK29" s="137"/>
      <c r="OL29" s="33"/>
      <c r="OM29" s="33"/>
      <c r="ON29" s="33"/>
      <c r="OO29" s="33"/>
      <c r="OP29" s="33"/>
      <c r="OQ29" s="74"/>
      <c r="OR29" s="33"/>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64"/>
      <c r="QO29" s="64"/>
      <c r="QP29" s="64"/>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33"/>
      <c r="SR29" s="33"/>
      <c r="SS29" s="33"/>
      <c r="ST29" s="33"/>
      <c r="SU29" s="74"/>
      <c r="SV29" s="64"/>
      <c r="SW29" s="64"/>
      <c r="SX29" s="64"/>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64"/>
      <c r="VH29" s="33"/>
      <c r="VI29" s="137"/>
      <c r="VJ29" s="33"/>
      <c r="VK29" s="33"/>
      <c r="VL29" s="33"/>
      <c r="VM29" s="33"/>
      <c r="VN29" s="33"/>
      <c r="VO29" s="74"/>
      <c r="VP29" s="33"/>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33"/>
      <c r="XH29" s="33"/>
      <c r="XI29" s="33"/>
      <c r="XJ29" s="33"/>
      <c r="XK29" s="74"/>
      <c r="XL29" s="64"/>
      <c r="XM29" s="64"/>
      <c r="XN29" s="64"/>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64"/>
      <c r="ZX29" s="33"/>
      <c r="ZY29" s="137"/>
      <c r="ZZ29" s="33"/>
      <c r="AAA29" s="33"/>
      <c r="AAB29" s="33"/>
      <c r="AAC29" s="33"/>
      <c r="AAD29" s="33"/>
      <c r="AAE29" s="74"/>
      <c r="AAF29" s="33"/>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33"/>
      <c r="ABX29" s="33"/>
      <c r="ABY29" s="33"/>
      <c r="ABZ29" s="33"/>
      <c r="ACA29" s="74"/>
      <c r="ACB29" s="64"/>
      <c r="ACC29" s="64"/>
      <c r="ACD29" s="64"/>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64"/>
      <c r="AEK29" s="64"/>
      <c r="AEL29" s="64"/>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33"/>
      <c r="AGN29" s="33"/>
      <c r="AGO29" s="33"/>
      <c r="AGP29" s="33"/>
      <c r="AGQ29" s="74"/>
      <c r="AGR29" s="64"/>
      <c r="AGS29" s="64"/>
      <c r="AGT29" s="64"/>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64"/>
      <c r="AJD29" s="33"/>
      <c r="AJE29" s="137"/>
      <c r="AJF29" s="33"/>
      <c r="AJG29" s="33"/>
      <c r="AJH29" s="33"/>
      <c r="AJI29" s="33"/>
      <c r="AJJ29" s="33"/>
      <c r="AJK29" s="74"/>
      <c r="AJL29" s="33"/>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33"/>
      <c r="ALD29" s="33"/>
      <c r="ALE29" s="33"/>
      <c r="ALF29" s="33"/>
      <c r="ALG29" s="74"/>
      <c r="ALH29" s="64"/>
      <c r="ALI29" s="64"/>
      <c r="ALJ29" s="64"/>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64"/>
      <c r="ANT29" s="33"/>
      <c r="ANU29" s="137"/>
      <c r="ANV29" s="33"/>
      <c r="ANW29" s="33"/>
      <c r="ANX29" s="33"/>
      <c r="ANY29" s="33"/>
      <c r="ANZ29" s="33"/>
      <c r="AOA29" s="74"/>
      <c r="AOB29" s="33"/>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64"/>
      <c r="APY29" s="64"/>
      <c r="APZ29" s="64"/>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33"/>
      <c r="ASB29" s="33"/>
      <c r="ASC29" s="33"/>
      <c r="ASD29" s="33"/>
      <c r="ASE29" s="74"/>
      <c r="ASF29" s="64"/>
      <c r="ASG29" s="64"/>
      <c r="ASH29" s="64"/>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33"/>
      <c r="AUJ29" s="33"/>
      <c r="AUK29" s="33"/>
      <c r="AUL29" s="33"/>
      <c r="AUM29" s="74"/>
      <c r="AUN29" s="64"/>
      <c r="AUO29" s="64"/>
      <c r="AUP29" s="64"/>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64"/>
      <c r="AWZ29" s="33"/>
      <c r="AXA29" s="137"/>
      <c r="AXB29" s="33"/>
      <c r="AXC29" s="33"/>
      <c r="AXD29" s="33"/>
      <c r="AXE29" s="33"/>
      <c r="AXF29" s="33"/>
      <c r="AXG29" s="74"/>
      <c r="AXH29" s="33"/>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64"/>
      <c r="AZE29" s="64"/>
      <c r="AZF29" s="64"/>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33"/>
      <c r="BBW29" s="74"/>
      <c r="BBX29" s="33"/>
      <c r="BBY29" s="33"/>
      <c r="BBZ29" s="33"/>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64"/>
      <c r="BDW29" s="64"/>
      <c r="BDX29" s="33"/>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32"/>
      <c r="BHG29" s="64"/>
      <c r="BHH29" s="64"/>
      <c r="BHI29" s="64"/>
      <c r="BHJ29" s="33"/>
      <c r="BHK29" s="132"/>
      <c r="BHL29" s="33"/>
      <c r="BHM29" s="33"/>
      <c r="BHN29" s="33"/>
      <c r="BHO29" s="33"/>
      <c r="BHP29" s="33"/>
      <c r="BHQ29" s="137"/>
      <c r="BHR29" s="33"/>
      <c r="BHS29" s="33"/>
      <c r="BHT29" s="33"/>
      <c r="BHU29" s="33"/>
      <c r="BHV29" s="33"/>
      <c r="BHW29" s="74"/>
      <c r="BHX29" s="33"/>
      <c r="BHY29" s="33"/>
      <c r="BHZ29" s="33"/>
      <c r="BIA29" s="33"/>
      <c r="BIB29" s="33"/>
      <c r="BIC29" s="137"/>
      <c r="BID29" s="33"/>
      <c r="BIE29" s="33"/>
      <c r="BIF29" s="33"/>
      <c r="BIG29" s="33"/>
      <c r="BIH29" s="33"/>
      <c r="BII29" s="74"/>
      <c r="BIJ29" s="64"/>
      <c r="BIK29" s="64"/>
      <c r="BIL29" s="64"/>
      <c r="BIM29" s="64"/>
      <c r="BIN29" s="33"/>
      <c r="BIO29" s="137"/>
      <c r="BIP29" s="33"/>
      <c r="BIQ29" s="33"/>
      <c r="BIR29" s="33"/>
      <c r="BIS29" s="33"/>
      <c r="BIT29" s="33"/>
      <c r="BIU29" s="74"/>
      <c r="BIV29" s="33"/>
      <c r="BIW29" s="33"/>
      <c r="BIX29" s="33"/>
      <c r="BIY29" s="33"/>
      <c r="BIZ29" s="33"/>
      <c r="BJA29" s="137"/>
      <c r="BJB29" s="33"/>
      <c r="BJC29" s="33"/>
      <c r="BJD29" s="33"/>
      <c r="BJE29" s="33"/>
      <c r="BJF29" s="33"/>
      <c r="BJG29" s="74"/>
      <c r="BJH29" s="33"/>
      <c r="BJI29" s="33"/>
      <c r="BJJ29" s="33"/>
      <c r="BJK29" s="33"/>
      <c r="BJL29" s="33"/>
      <c r="BJM29" s="34"/>
      <c r="BJN29" s="32"/>
      <c r="BJO29" s="64"/>
      <c r="BJP29" s="64"/>
      <c r="BJQ29" s="64"/>
      <c r="BJR29" s="33"/>
      <c r="BJS29" s="132"/>
      <c r="BJT29" s="33"/>
      <c r="BJU29" s="33"/>
      <c r="BJV29" s="33"/>
      <c r="BJW29" s="33"/>
      <c r="BJX29" s="33"/>
      <c r="BJY29" s="137"/>
      <c r="BJZ29" s="33"/>
      <c r="BKA29" s="33"/>
      <c r="BKB29" s="33"/>
      <c r="BKC29" s="33"/>
      <c r="BKD29" s="33"/>
      <c r="BKE29" s="74"/>
      <c r="BKF29" s="33"/>
      <c r="BKG29" s="33"/>
      <c r="BKH29" s="33"/>
      <c r="BKI29" s="33"/>
      <c r="BKJ29" s="33"/>
      <c r="BKK29" s="137"/>
      <c r="BKL29" s="33"/>
      <c r="BKM29" s="33"/>
      <c r="BKN29" s="33"/>
      <c r="BKO29" s="33"/>
      <c r="BKP29" s="33"/>
      <c r="BKQ29" s="74"/>
      <c r="BKR29" s="64"/>
      <c r="BKS29" s="64"/>
      <c r="BKT29" s="64"/>
      <c r="BKU29" s="64"/>
      <c r="BKV29" s="33"/>
      <c r="BKW29" s="137"/>
      <c r="BKX29" s="33"/>
      <c r="BKY29" s="33"/>
      <c r="BKZ29" s="33"/>
      <c r="BLA29" s="33"/>
      <c r="BLB29" s="33"/>
      <c r="BLC29" s="74"/>
      <c r="BLD29" s="33"/>
      <c r="BLE29" s="33"/>
      <c r="BLF29" s="33"/>
      <c r="BLG29" s="33"/>
      <c r="BLH29" s="33"/>
      <c r="BLI29" s="137"/>
      <c r="BLJ29" s="33"/>
      <c r="BLK29" s="33"/>
      <c r="BLL29" s="33"/>
      <c r="BLM29" s="33"/>
      <c r="BLN29" s="33"/>
      <c r="BLO29" s="74"/>
      <c r="BLP29" s="33"/>
      <c r="BLQ29" s="33"/>
      <c r="BLR29" s="33"/>
      <c r="BLS29" s="33"/>
      <c r="BLT29" s="33"/>
      <c r="BLU29" s="34"/>
      <c r="BLV29" s="90"/>
    </row>
    <row r="30" spans="1:1686" ht="20.100000000000001" customHeight="1" x14ac:dyDescent="0.3">
      <c r="A30" s="100" t="s">
        <v>18</v>
      </c>
      <c r="B30" s="63" t="str">
        <f>IF(LEN(C45)=0,"",C45)</f>
        <v>Correction</v>
      </c>
      <c r="C30" s="207"/>
      <c r="D30" s="148" t="str">
        <f t="shared" si="0"/>
        <v>0h</v>
      </c>
      <c r="E30" s="35">
        <v>0</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37"/>
      <c r="OQ30" s="75"/>
      <c r="OR30" s="37"/>
      <c r="OS30" s="37"/>
      <c r="OT30" s="37"/>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36"/>
      <c r="BHG30" s="65"/>
      <c r="BHH30" s="65"/>
      <c r="BHI30" s="65"/>
      <c r="BHJ30" s="37"/>
      <c r="BHK30" s="133"/>
      <c r="BHL30" s="37"/>
      <c r="BHM30" s="37"/>
      <c r="BHN30" s="37"/>
      <c r="BHO30" s="37"/>
      <c r="BHP30" s="37"/>
      <c r="BHQ30" s="138"/>
      <c r="BHR30" s="37"/>
      <c r="BHS30" s="37"/>
      <c r="BHT30" s="37"/>
      <c r="BHU30" s="37"/>
      <c r="BHV30" s="37"/>
      <c r="BHW30" s="75"/>
      <c r="BHX30" s="37"/>
      <c r="BHY30" s="37"/>
      <c r="BHZ30" s="37"/>
      <c r="BIA30" s="37"/>
      <c r="BIB30" s="37"/>
      <c r="BIC30" s="138"/>
      <c r="BID30" s="37"/>
      <c r="BIE30" s="37"/>
      <c r="BIF30" s="37"/>
      <c r="BIG30" s="37"/>
      <c r="BIH30" s="37"/>
      <c r="BII30" s="75"/>
      <c r="BIJ30" s="65"/>
      <c r="BIK30" s="65"/>
      <c r="BIL30" s="65"/>
      <c r="BIM30" s="65"/>
      <c r="BIN30" s="37"/>
      <c r="BIO30" s="138"/>
      <c r="BIP30" s="37"/>
      <c r="BIQ30" s="37"/>
      <c r="BIR30" s="37"/>
      <c r="BIS30" s="37"/>
      <c r="BIT30" s="37"/>
      <c r="BIU30" s="75"/>
      <c r="BIV30" s="37"/>
      <c r="BIW30" s="37"/>
      <c r="BIX30" s="37"/>
      <c r="BIY30" s="37"/>
      <c r="BIZ30" s="37"/>
      <c r="BJA30" s="138"/>
      <c r="BJB30" s="37"/>
      <c r="BJC30" s="37"/>
      <c r="BJD30" s="37"/>
      <c r="BJE30" s="37"/>
      <c r="BJF30" s="37"/>
      <c r="BJG30" s="75"/>
      <c r="BJH30" s="37"/>
      <c r="BJI30" s="37"/>
      <c r="BJJ30" s="37"/>
      <c r="BJK30" s="37"/>
      <c r="BJL30" s="37"/>
      <c r="BJM30" s="38"/>
      <c r="BJN30" s="36"/>
      <c r="BJO30" s="65"/>
      <c r="BJP30" s="65"/>
      <c r="BJQ30" s="65"/>
      <c r="BJR30" s="37"/>
      <c r="BJS30" s="133"/>
      <c r="BJT30" s="37"/>
      <c r="BJU30" s="37"/>
      <c r="BJV30" s="37"/>
      <c r="BJW30" s="37"/>
      <c r="BJX30" s="37"/>
      <c r="BJY30" s="138"/>
      <c r="BJZ30" s="37"/>
      <c r="BKA30" s="37"/>
      <c r="BKB30" s="37"/>
      <c r="BKC30" s="37"/>
      <c r="BKD30" s="37"/>
      <c r="BKE30" s="75"/>
      <c r="BKF30" s="37"/>
      <c r="BKG30" s="37"/>
      <c r="BKH30" s="37"/>
      <c r="BKI30" s="37"/>
      <c r="BKJ30" s="37"/>
      <c r="BKK30" s="138"/>
      <c r="BKL30" s="37"/>
      <c r="BKM30" s="37"/>
      <c r="BKN30" s="37"/>
      <c r="BKO30" s="37"/>
      <c r="BKP30" s="37"/>
      <c r="BKQ30" s="75"/>
      <c r="BKR30" s="65"/>
      <c r="BKS30" s="65"/>
      <c r="BKT30" s="65"/>
      <c r="BKU30" s="65"/>
      <c r="BKV30" s="37"/>
      <c r="BKW30" s="138"/>
      <c r="BKX30" s="37"/>
      <c r="BKY30" s="37"/>
      <c r="BKZ30" s="37"/>
      <c r="BLA30" s="37"/>
      <c r="BLB30" s="37"/>
      <c r="BLC30" s="75"/>
      <c r="BLD30" s="37"/>
      <c r="BLE30" s="37"/>
      <c r="BLF30" s="37"/>
      <c r="BLG30" s="37"/>
      <c r="BLH30" s="37"/>
      <c r="BLI30" s="138"/>
      <c r="BLJ30" s="37"/>
      <c r="BLK30" s="37"/>
      <c r="BLL30" s="37"/>
      <c r="BLM30" s="37"/>
      <c r="BLN30" s="37"/>
      <c r="BLO30" s="75"/>
      <c r="BLP30" s="37"/>
      <c r="BLQ30" s="37"/>
      <c r="BLR30" s="37"/>
      <c r="BLS30" s="37"/>
      <c r="BLT30" s="37"/>
      <c r="BLU30" s="38"/>
      <c r="BLV30" s="90"/>
    </row>
    <row r="31" spans="1:1686" ht="20.100000000000001" customHeight="1" x14ac:dyDescent="0.25">
      <c r="A31" s="100" t="s">
        <v>17</v>
      </c>
      <c r="B31" s="63" t="str">
        <f>IF(LEN(C47)=0,"",C47)</f>
        <v>Compte rendu experts</v>
      </c>
      <c r="C31" s="205" t="s">
        <v>112</v>
      </c>
      <c r="D31" s="146" t="str">
        <f t="shared" si="0"/>
        <v>6h25min</v>
      </c>
      <c r="E31" s="39">
        <v>77</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175"/>
      <c r="KU31" s="176"/>
      <c r="KV31" s="176"/>
      <c r="KW31" s="176"/>
      <c r="KX31" s="177"/>
      <c r="KY31" s="178"/>
      <c r="KZ31" s="177"/>
      <c r="LA31" s="177"/>
      <c r="LB31" s="177"/>
      <c r="LC31" s="177"/>
      <c r="LD31" s="177"/>
      <c r="LE31" s="179"/>
      <c r="LF31" s="177"/>
      <c r="LG31" s="177"/>
      <c r="LH31" s="41"/>
      <c r="LI31" s="41"/>
      <c r="LJ31" s="41"/>
      <c r="LK31" s="76"/>
      <c r="LL31" s="41"/>
      <c r="LM31" s="41"/>
      <c r="LN31" s="41"/>
      <c r="LO31" s="41"/>
      <c r="LP31" s="41"/>
      <c r="LQ31" s="179"/>
      <c r="LR31" s="177"/>
      <c r="LS31" s="177"/>
      <c r="LT31" s="177"/>
      <c r="LU31" s="177"/>
      <c r="LV31" s="177"/>
      <c r="LW31" s="180"/>
      <c r="LX31" s="176"/>
      <c r="LY31" s="176"/>
      <c r="LZ31" s="176"/>
      <c r="MA31" s="176"/>
      <c r="MB31" s="177"/>
      <c r="MC31" s="179"/>
      <c r="MD31" s="177"/>
      <c r="ME31" s="177"/>
      <c r="MF31" s="41"/>
      <c r="MG31" s="41"/>
      <c r="MH31" s="41"/>
      <c r="MI31" s="76"/>
      <c r="MJ31" s="41"/>
      <c r="MK31" s="41"/>
      <c r="ML31" s="41"/>
      <c r="MM31" s="41"/>
      <c r="MN31" s="41"/>
      <c r="MO31" s="139"/>
      <c r="MP31" s="41"/>
      <c r="MQ31" s="41"/>
      <c r="MR31" s="41"/>
      <c r="MS31" s="41"/>
      <c r="MT31" s="41"/>
      <c r="MU31" s="76"/>
      <c r="MV31" s="41"/>
      <c r="MW31" s="41"/>
      <c r="MX31" s="41"/>
      <c r="MY31" s="41"/>
      <c r="MZ31" s="41"/>
      <c r="NA31" s="42"/>
      <c r="NB31" s="175"/>
      <c r="NC31" s="176"/>
      <c r="ND31" s="176"/>
      <c r="NE31" s="176"/>
      <c r="NF31" s="177"/>
      <c r="NG31" s="178"/>
      <c r="NH31" s="177"/>
      <c r="NI31" s="177"/>
      <c r="NJ31" s="177"/>
      <c r="NK31" s="177"/>
      <c r="NL31" s="41"/>
      <c r="NM31" s="139"/>
      <c r="NN31" s="41"/>
      <c r="NO31" s="41"/>
      <c r="NP31" s="41"/>
      <c r="NQ31" s="41"/>
      <c r="NR31" s="41"/>
      <c r="NS31" s="76"/>
      <c r="NT31" s="41"/>
      <c r="NU31" s="177"/>
      <c r="NV31" s="177"/>
      <c r="NW31" s="177"/>
      <c r="NX31" s="177"/>
      <c r="NY31" s="179"/>
      <c r="NZ31" s="177"/>
      <c r="OA31" s="177"/>
      <c r="OB31" s="177"/>
      <c r="OC31" s="177"/>
      <c r="OD31" s="177"/>
      <c r="OE31" s="180"/>
      <c r="OF31" s="176"/>
      <c r="OG31" s="176"/>
      <c r="OH31" s="176"/>
      <c r="OI31" s="176"/>
      <c r="OJ31" s="177"/>
      <c r="OK31" s="179"/>
      <c r="OL31" s="177"/>
      <c r="OM31" s="177"/>
      <c r="ON31" s="41"/>
      <c r="OO31" s="41"/>
      <c r="OP31" s="41"/>
      <c r="OQ31" s="76"/>
      <c r="OR31" s="41"/>
      <c r="OS31" s="41"/>
      <c r="OT31" s="41"/>
      <c r="OU31" s="41"/>
      <c r="OV31" s="41"/>
      <c r="OW31" s="139"/>
      <c r="OX31" s="41"/>
      <c r="OY31" s="41"/>
      <c r="OZ31" s="41"/>
      <c r="PA31" s="41"/>
      <c r="PB31" s="41"/>
      <c r="PC31" s="76"/>
      <c r="PD31" s="41"/>
      <c r="PE31" s="41"/>
      <c r="PF31" s="41"/>
      <c r="PG31" s="41"/>
      <c r="PH31" s="41"/>
      <c r="PI31" s="42"/>
      <c r="PJ31" s="175"/>
      <c r="PK31" s="176"/>
      <c r="PL31" s="176"/>
      <c r="PM31" s="176"/>
      <c r="PN31" s="177"/>
      <c r="PO31" s="178"/>
      <c r="PP31" s="177"/>
      <c r="PQ31" s="177"/>
      <c r="PR31" s="177"/>
      <c r="PS31" s="41"/>
      <c r="PT31" s="41"/>
      <c r="PU31" s="139"/>
      <c r="PV31" s="41"/>
      <c r="PW31" s="41"/>
      <c r="PX31" s="41"/>
      <c r="PY31" s="41"/>
      <c r="PZ31" s="41"/>
      <c r="QA31" s="76"/>
      <c r="QB31" s="177"/>
      <c r="QC31" s="177"/>
      <c r="QD31" s="177"/>
      <c r="QE31" s="177"/>
      <c r="QF31" s="177"/>
      <c r="QG31" s="179"/>
      <c r="QH31" s="177"/>
      <c r="QI31" s="177"/>
      <c r="QJ31" s="177"/>
      <c r="QK31" s="177"/>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40"/>
      <c r="ADG31" s="66"/>
      <c r="ADH31" s="66"/>
      <c r="ADI31" s="66"/>
      <c r="ADJ31" s="41"/>
      <c r="ADK31" s="134"/>
      <c r="ADL31" s="41"/>
      <c r="ADM31" s="41"/>
      <c r="ADN31" s="41"/>
      <c r="ADO31" s="41"/>
      <c r="ADP31" s="41"/>
      <c r="ADQ31" s="139"/>
      <c r="ADR31" s="41"/>
      <c r="ADS31" s="41"/>
      <c r="ADT31" s="41"/>
      <c r="ADU31" s="41"/>
      <c r="ADV31" s="41"/>
      <c r="ADW31" s="76"/>
      <c r="ADX31" s="41"/>
      <c r="ADY31" s="41"/>
      <c r="ADZ31" s="41"/>
      <c r="AEA31" s="41"/>
      <c r="AEB31" s="41"/>
      <c r="AEC31" s="139"/>
      <c r="AED31" s="41"/>
      <c r="AEE31" s="41"/>
      <c r="AEF31" s="41"/>
      <c r="AEG31" s="41"/>
      <c r="AEH31" s="41"/>
      <c r="AEI31" s="76"/>
      <c r="AEJ31" s="66"/>
      <c r="AEK31" s="66"/>
      <c r="AEL31" s="66"/>
      <c r="AEM31" s="66"/>
      <c r="AEN31" s="41"/>
      <c r="AEO31" s="139"/>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40"/>
      <c r="AFO31" s="66"/>
      <c r="AFP31" s="66"/>
      <c r="AFQ31" s="66"/>
      <c r="AFR31" s="41"/>
      <c r="AFS31" s="134"/>
      <c r="AFT31" s="41"/>
      <c r="AFU31" s="41"/>
      <c r="AFV31" s="41"/>
      <c r="AFW31" s="41"/>
      <c r="AFX31" s="41"/>
      <c r="AFY31" s="139"/>
      <c r="AFZ31" s="41"/>
      <c r="AGA31" s="41"/>
      <c r="AGB31" s="41"/>
      <c r="AGC31" s="41"/>
      <c r="AGD31" s="41"/>
      <c r="AGE31" s="76"/>
      <c r="AGF31" s="41"/>
      <c r="AGG31" s="41"/>
      <c r="AGH31" s="41"/>
      <c r="AGI31" s="41"/>
      <c r="AGJ31" s="41"/>
      <c r="AGK31" s="139"/>
      <c r="AGL31" s="41"/>
      <c r="AGM31" s="41"/>
      <c r="AGN31" s="41"/>
      <c r="AGO31" s="41"/>
      <c r="AGP31" s="41"/>
      <c r="AGQ31" s="76"/>
      <c r="AGR31" s="66"/>
      <c r="AGS31" s="66"/>
      <c r="AGT31" s="66"/>
      <c r="AGU31" s="66"/>
      <c r="AGV31" s="41"/>
      <c r="AGW31" s="139"/>
      <c r="AGX31" s="41"/>
      <c r="AGY31" s="41"/>
      <c r="AGZ31" s="41"/>
      <c r="AHA31" s="41"/>
      <c r="AHB31" s="41"/>
      <c r="AHC31" s="76"/>
      <c r="AHD31" s="41"/>
      <c r="AHE31" s="41"/>
      <c r="AHF31" s="41"/>
      <c r="AHG31" s="41"/>
      <c r="AHH31" s="41"/>
      <c r="AHI31" s="139"/>
      <c r="AHJ31" s="41"/>
      <c r="AHK31" s="41"/>
      <c r="AHL31" s="41"/>
      <c r="AHM31" s="41"/>
      <c r="AHN31" s="41"/>
      <c r="AHO31" s="76"/>
      <c r="AHP31" s="41"/>
      <c r="AHQ31" s="41"/>
      <c r="AHR31" s="41"/>
      <c r="AHS31" s="41"/>
      <c r="AHT31" s="41"/>
      <c r="AHU31" s="42"/>
      <c r="AHV31" s="40"/>
      <c r="AHW31" s="66"/>
      <c r="AHX31" s="66"/>
      <c r="AHY31" s="66"/>
      <c r="AHZ31" s="41"/>
      <c r="AIA31" s="134"/>
      <c r="AIB31" s="41"/>
      <c r="AIC31" s="41"/>
      <c r="AID31" s="41"/>
      <c r="AIE31" s="41"/>
      <c r="AIF31" s="41"/>
      <c r="AIG31" s="139"/>
      <c r="AIH31" s="41"/>
      <c r="AII31" s="41"/>
      <c r="AIJ31" s="41"/>
      <c r="AIK31" s="41"/>
      <c r="AIL31" s="41"/>
      <c r="AIM31" s="76"/>
      <c r="AIN31" s="41"/>
      <c r="AIO31" s="41"/>
      <c r="AIP31" s="41"/>
      <c r="AIQ31" s="41"/>
      <c r="AIR31" s="41"/>
      <c r="AIS31" s="139"/>
      <c r="AIT31" s="41"/>
      <c r="AIU31" s="41"/>
      <c r="AIV31" s="41"/>
      <c r="AIW31" s="41"/>
      <c r="AIX31" s="41"/>
      <c r="AIY31" s="76"/>
      <c r="AIZ31" s="66"/>
      <c r="AJA31" s="66"/>
      <c r="AJB31" s="66"/>
      <c r="AJC31" s="66"/>
      <c r="AJD31" s="41"/>
      <c r="AJE31" s="13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40"/>
      <c r="BEY31" s="66"/>
      <c r="BEZ31" s="66"/>
      <c r="BFA31" s="66"/>
      <c r="BFB31" s="41"/>
      <c r="BFC31" s="134"/>
      <c r="BFD31" s="41"/>
      <c r="BFE31" s="41"/>
      <c r="BFF31" s="41"/>
      <c r="BFG31" s="41"/>
      <c r="BFH31" s="41"/>
      <c r="BFI31" s="139"/>
      <c r="BFJ31" s="41"/>
      <c r="BFK31" s="41"/>
      <c r="BFL31" s="41"/>
      <c r="BFM31" s="41"/>
      <c r="BFN31" s="41"/>
      <c r="BFO31" s="76"/>
      <c r="BFP31" s="41"/>
      <c r="BFQ31" s="41"/>
      <c r="BFR31" s="41"/>
      <c r="BFS31" s="41"/>
      <c r="BFT31" s="41"/>
      <c r="BFU31" s="139"/>
      <c r="BFV31" s="41"/>
      <c r="BFW31" s="41"/>
      <c r="BFX31" s="41"/>
      <c r="BFY31" s="41"/>
      <c r="BFZ31" s="41"/>
      <c r="BGA31" s="76"/>
      <c r="BGB31" s="66"/>
      <c r="BGC31" s="66"/>
      <c r="BGD31" s="66"/>
      <c r="BGE31" s="66"/>
      <c r="BGF31" s="41"/>
      <c r="BGG31" s="139"/>
      <c r="BGH31" s="41"/>
      <c r="BGI31" s="41"/>
      <c r="BGJ31" s="41"/>
      <c r="BGK31" s="41"/>
      <c r="BGL31" s="41"/>
      <c r="BGM31" s="76"/>
      <c r="BGN31" s="41"/>
      <c r="BGO31" s="41"/>
      <c r="BGP31" s="41"/>
      <c r="BGQ31" s="41"/>
      <c r="BGR31" s="41"/>
      <c r="BGS31" s="139"/>
      <c r="BGT31" s="41"/>
      <c r="BGU31" s="41"/>
      <c r="BGV31" s="41"/>
      <c r="BGW31" s="41"/>
      <c r="BGX31" s="41"/>
      <c r="BGY31" s="76"/>
      <c r="BGZ31" s="41"/>
      <c r="BHA31" s="41"/>
      <c r="BHB31" s="41"/>
      <c r="BHC31" s="41"/>
      <c r="BHD31" s="41"/>
      <c r="BHE31" s="42"/>
      <c r="BHF31" s="40"/>
      <c r="BHG31" s="66"/>
      <c r="BHH31" s="66"/>
      <c r="BHI31" s="66"/>
      <c r="BHJ31" s="41"/>
      <c r="BHK31" s="134"/>
      <c r="BHL31" s="41"/>
      <c r="BHM31" s="41"/>
      <c r="BHN31" s="41"/>
      <c r="BHO31" s="41"/>
      <c r="BHP31" s="41"/>
      <c r="BHQ31" s="139"/>
      <c r="BHR31" s="41"/>
      <c r="BHS31" s="41"/>
      <c r="BHT31" s="41"/>
      <c r="BHU31" s="41"/>
      <c r="BHV31" s="41"/>
      <c r="BHW31" s="76"/>
      <c r="BHX31" s="41"/>
      <c r="BHY31" s="41"/>
      <c r="BHZ31" s="41"/>
      <c r="BIA31" s="41"/>
      <c r="BIB31" s="41"/>
      <c r="BIC31" s="139"/>
      <c r="BID31" s="41"/>
      <c r="BIE31" s="41"/>
      <c r="BIF31" s="41"/>
      <c r="BIG31" s="41"/>
      <c r="BIH31" s="41"/>
      <c r="BII31" s="76"/>
      <c r="BIJ31" s="66"/>
      <c r="BIK31" s="66"/>
      <c r="BIL31" s="66"/>
      <c r="BIM31" s="66"/>
      <c r="BIN31" s="41"/>
      <c r="BIO31" s="139"/>
      <c r="BIP31" s="41"/>
      <c r="BIQ31" s="41"/>
      <c r="BIR31" s="41"/>
      <c r="BIS31" s="41"/>
      <c r="BIT31" s="41"/>
      <c r="BIU31" s="76"/>
      <c r="BIV31" s="41"/>
      <c r="BIW31" s="41"/>
      <c r="BIX31" s="41"/>
      <c r="BIY31" s="41"/>
      <c r="BIZ31" s="41"/>
      <c r="BJA31" s="139"/>
      <c r="BJB31" s="41"/>
      <c r="BJC31" s="41"/>
      <c r="BJD31" s="41"/>
      <c r="BJE31" s="41"/>
      <c r="BJF31" s="41"/>
      <c r="BJG31" s="76"/>
      <c r="BJH31" s="41"/>
      <c r="BJI31" s="41"/>
      <c r="BJJ31" s="41"/>
      <c r="BJK31" s="41"/>
      <c r="BJL31" s="41"/>
      <c r="BJM31" s="42"/>
      <c r="BJN31" s="40"/>
      <c r="BJO31" s="66"/>
      <c r="BJP31" s="66"/>
      <c r="BJQ31" s="66"/>
      <c r="BJR31" s="41"/>
      <c r="BJS31" s="134"/>
      <c r="BJT31" s="41"/>
      <c r="BJU31" s="41"/>
      <c r="BJV31" s="41"/>
      <c r="BJW31" s="41"/>
      <c r="BJX31" s="41"/>
      <c r="BJY31" s="139"/>
      <c r="BJZ31" s="41"/>
      <c r="BKA31" s="41"/>
      <c r="BKB31" s="41"/>
      <c r="BKC31" s="41"/>
      <c r="BKD31" s="41"/>
      <c r="BKE31" s="76"/>
      <c r="BKF31" s="41"/>
      <c r="BKG31" s="41"/>
      <c r="BKH31" s="41"/>
      <c r="BKI31" s="41"/>
      <c r="BKJ31" s="41"/>
      <c r="BKK31" s="139"/>
      <c r="BKL31" s="41"/>
      <c r="BKM31" s="41"/>
      <c r="BKN31" s="41"/>
      <c r="BKO31" s="41"/>
      <c r="BKP31" s="41"/>
      <c r="BKQ31" s="76"/>
      <c r="BKR31" s="66"/>
      <c r="BKS31" s="66"/>
      <c r="BKT31" s="66"/>
      <c r="BKU31" s="66"/>
      <c r="BKV31" s="41"/>
      <c r="BKW31" s="139"/>
      <c r="BKX31" s="41"/>
      <c r="BKY31" s="41"/>
      <c r="BKZ31" s="41"/>
      <c r="BLA31" s="41"/>
      <c r="BLB31" s="41"/>
      <c r="BLC31" s="76"/>
      <c r="BLD31" s="41"/>
      <c r="BLE31" s="41"/>
      <c r="BLF31" s="41"/>
      <c r="BLG31" s="41"/>
      <c r="BLH31" s="41"/>
      <c r="BLI31" s="139"/>
      <c r="BLJ31" s="41"/>
      <c r="BLK31" s="41"/>
      <c r="BLL31" s="41"/>
      <c r="BLM31" s="41"/>
      <c r="BLN31" s="41"/>
      <c r="BLO31" s="76"/>
      <c r="BLP31" s="41"/>
      <c r="BLQ31" s="41"/>
      <c r="BLR31" s="41"/>
      <c r="BLS31" s="41"/>
      <c r="BLT31" s="41"/>
      <c r="BLU31" s="42"/>
      <c r="BLV31" s="90"/>
    </row>
    <row r="32" spans="1:1686" ht="20.100000000000001" customHeight="1" x14ac:dyDescent="0.3">
      <c r="A32" s="100" t="s">
        <v>18</v>
      </c>
      <c r="B32" s="63" t="str">
        <f>IF(LEN(C49)=0,"",C49)</f>
        <v>Réalisation - Transfert de l'image</v>
      </c>
      <c r="C32" s="207"/>
      <c r="D32" s="148" t="str">
        <f t="shared" si="0"/>
        <v>0h</v>
      </c>
      <c r="E32" s="27">
        <v>0</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9"/>
      <c r="NO32" s="29"/>
      <c r="NP32" s="29"/>
      <c r="NQ32" s="29"/>
      <c r="NR32" s="29"/>
      <c r="NS32" s="73"/>
      <c r="NT32" s="29"/>
      <c r="NU32" s="29"/>
      <c r="NV32" s="29"/>
      <c r="NW32" s="29"/>
      <c r="NX32" s="29"/>
      <c r="NY32" s="136"/>
      <c r="NZ32" s="29"/>
      <c r="OA32" s="29"/>
      <c r="OB32" s="29"/>
      <c r="OC32" s="29"/>
      <c r="OD32" s="29"/>
      <c r="OE32" s="73"/>
      <c r="OF32" s="67"/>
      <c r="OG32" s="67"/>
      <c r="OH32" s="67"/>
      <c r="OI32" s="67"/>
      <c r="OJ32" s="29"/>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28"/>
      <c r="BHG32" s="67"/>
      <c r="BHH32" s="67"/>
      <c r="BHI32" s="67"/>
      <c r="BHJ32" s="29"/>
      <c r="BHK32" s="131"/>
      <c r="BHL32" s="29"/>
      <c r="BHM32" s="29"/>
      <c r="BHN32" s="29"/>
      <c r="BHO32" s="29"/>
      <c r="BHP32" s="29"/>
      <c r="BHQ32" s="136"/>
      <c r="BHR32" s="29"/>
      <c r="BHS32" s="29"/>
      <c r="BHT32" s="29"/>
      <c r="BHU32" s="29"/>
      <c r="BHV32" s="29"/>
      <c r="BHW32" s="73"/>
      <c r="BHX32" s="29"/>
      <c r="BHY32" s="29"/>
      <c r="BHZ32" s="29"/>
      <c r="BIA32" s="29"/>
      <c r="BIB32" s="29"/>
      <c r="BIC32" s="136"/>
      <c r="BID32" s="29"/>
      <c r="BIE32" s="29"/>
      <c r="BIF32" s="29"/>
      <c r="BIG32" s="29"/>
      <c r="BIH32" s="29"/>
      <c r="BII32" s="73"/>
      <c r="BIJ32" s="67"/>
      <c r="BIK32" s="67"/>
      <c r="BIL32" s="67"/>
      <c r="BIM32" s="67"/>
      <c r="BIN32" s="29"/>
      <c r="BIO32" s="136"/>
      <c r="BIP32" s="29"/>
      <c r="BIQ32" s="29"/>
      <c r="BIR32" s="29"/>
      <c r="BIS32" s="29"/>
      <c r="BIT32" s="29"/>
      <c r="BIU32" s="73"/>
      <c r="BIV32" s="29"/>
      <c r="BIW32" s="29"/>
      <c r="BIX32" s="29"/>
      <c r="BIY32" s="29"/>
      <c r="BIZ32" s="29"/>
      <c r="BJA32" s="136"/>
      <c r="BJB32" s="29"/>
      <c r="BJC32" s="29"/>
      <c r="BJD32" s="29"/>
      <c r="BJE32" s="29"/>
      <c r="BJF32" s="29"/>
      <c r="BJG32" s="73"/>
      <c r="BJH32" s="29"/>
      <c r="BJI32" s="29"/>
      <c r="BJJ32" s="29"/>
      <c r="BJK32" s="29"/>
      <c r="BJL32" s="29"/>
      <c r="BJM32" s="30"/>
      <c r="BJN32" s="28"/>
      <c r="BJO32" s="67"/>
      <c r="BJP32" s="67"/>
      <c r="BJQ32" s="67"/>
      <c r="BJR32" s="29"/>
      <c r="BJS32" s="131"/>
      <c r="BJT32" s="29"/>
      <c r="BJU32" s="29"/>
      <c r="BJV32" s="29"/>
      <c r="BJW32" s="29"/>
      <c r="BJX32" s="29"/>
      <c r="BJY32" s="136"/>
      <c r="BJZ32" s="29"/>
      <c r="BKA32" s="29"/>
      <c r="BKB32" s="29"/>
      <c r="BKC32" s="29"/>
      <c r="BKD32" s="29"/>
      <c r="BKE32" s="73"/>
      <c r="BKF32" s="29"/>
      <c r="BKG32" s="29"/>
      <c r="BKH32" s="29"/>
      <c r="BKI32" s="29"/>
      <c r="BKJ32" s="29"/>
      <c r="BKK32" s="136"/>
      <c r="BKL32" s="29"/>
      <c r="BKM32" s="29"/>
      <c r="BKN32" s="29"/>
      <c r="BKO32" s="29"/>
      <c r="BKP32" s="29"/>
      <c r="BKQ32" s="73"/>
      <c r="BKR32" s="67"/>
      <c r="BKS32" s="67"/>
      <c r="BKT32" s="67"/>
      <c r="BKU32" s="67"/>
      <c r="BKV32" s="29"/>
      <c r="BKW32" s="136"/>
      <c r="BKX32" s="29"/>
      <c r="BKY32" s="29"/>
      <c r="BKZ32" s="29"/>
      <c r="BLA32" s="29"/>
      <c r="BLB32" s="29"/>
      <c r="BLC32" s="73"/>
      <c r="BLD32" s="29"/>
      <c r="BLE32" s="29"/>
      <c r="BLF32" s="29"/>
      <c r="BLG32" s="29"/>
      <c r="BLH32" s="29"/>
      <c r="BLI32" s="136"/>
      <c r="BLJ32" s="29"/>
      <c r="BLK32" s="29"/>
      <c r="BLL32" s="29"/>
      <c r="BLM32" s="29"/>
      <c r="BLN32" s="29"/>
      <c r="BLO32" s="73"/>
      <c r="BLP32" s="29"/>
      <c r="BLQ32" s="29"/>
      <c r="BLR32" s="29"/>
      <c r="BLS32" s="29"/>
      <c r="BLT32" s="29"/>
      <c r="BLU32" s="30"/>
      <c r="BLV32" s="90"/>
    </row>
    <row r="33" spans="1:1686" ht="20.100000000000001" customHeight="1" x14ac:dyDescent="0.25">
      <c r="A33" s="100" t="s">
        <v>17</v>
      </c>
      <c r="B33" s="63" t="str">
        <f>IF(LEN(C51)=0,"",C51)</f>
        <v xml:space="preserve">Doc - Mesures de sécurité </v>
      </c>
      <c r="C33" s="205" t="s">
        <v>113</v>
      </c>
      <c r="D33" s="146" t="str">
        <f t="shared" si="0"/>
        <v>1h25min</v>
      </c>
      <c r="E33" s="31">
        <v>17</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33"/>
      <c r="QG33" s="137"/>
      <c r="QH33" s="33"/>
      <c r="QI33" s="33"/>
      <c r="QJ33" s="33"/>
      <c r="QK33" s="33"/>
      <c r="QL33" s="33"/>
      <c r="QM33" s="74"/>
      <c r="QN33" s="64"/>
      <c r="QO33" s="64"/>
      <c r="QP33" s="64"/>
      <c r="QQ33" s="64"/>
      <c r="QR33" s="33"/>
      <c r="QS33" s="137"/>
      <c r="QT33" s="33"/>
      <c r="QU33" s="33"/>
      <c r="QV33" s="33"/>
      <c r="QW33" s="33"/>
      <c r="QX33" s="33"/>
      <c r="QY33" s="74"/>
      <c r="QZ33" s="33"/>
      <c r="RA33" s="33"/>
      <c r="RB33" s="33"/>
      <c r="RC33" s="33"/>
      <c r="RD33" s="33"/>
      <c r="RE33" s="137"/>
      <c r="RF33" s="33"/>
      <c r="RG33" s="33"/>
      <c r="RH33" s="33"/>
      <c r="RI33" s="33"/>
      <c r="RJ33" s="33"/>
      <c r="RK33" s="74"/>
      <c r="RL33" s="33"/>
      <c r="RM33" s="33"/>
      <c r="RN33" s="33"/>
      <c r="RO33" s="33"/>
      <c r="RP33" s="33"/>
      <c r="RQ33" s="34"/>
      <c r="RR33" s="165"/>
      <c r="RS33" s="166"/>
      <c r="RT33" s="166"/>
      <c r="RU33" s="166"/>
      <c r="RV33" s="167"/>
      <c r="RW33" s="168"/>
      <c r="RX33" s="167"/>
      <c r="RY33" s="167"/>
      <c r="RZ33" s="167"/>
      <c r="SA33" s="167"/>
      <c r="SB33" s="167"/>
      <c r="SC33" s="181"/>
      <c r="SD33" s="167"/>
      <c r="SE33" s="167"/>
      <c r="SF33" s="167"/>
      <c r="SG33" s="167"/>
      <c r="SH33" s="167"/>
      <c r="SI33" s="74"/>
      <c r="SJ33" s="33"/>
      <c r="SK33" s="33"/>
      <c r="SL33" s="33"/>
      <c r="SM33" s="33"/>
      <c r="SN33" s="33"/>
      <c r="SO33" s="137"/>
      <c r="SP33" s="33"/>
      <c r="SQ33" s="33"/>
      <c r="SR33" s="33"/>
      <c r="SS33" s="33"/>
      <c r="ST33" s="33"/>
      <c r="SU33" s="74"/>
      <c r="SV33" s="64"/>
      <c r="SW33" s="64"/>
      <c r="SX33" s="64"/>
      <c r="SY33" s="64"/>
      <c r="SZ33" s="33"/>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32"/>
      <c r="UA33" s="64"/>
      <c r="UB33" s="64"/>
      <c r="UC33" s="64"/>
      <c r="UD33" s="33"/>
      <c r="UE33" s="132"/>
      <c r="UF33" s="33"/>
      <c r="UG33" s="33"/>
      <c r="UH33" s="33"/>
      <c r="UI33" s="33"/>
      <c r="UJ33" s="33"/>
      <c r="UK33" s="137"/>
      <c r="UL33" s="33"/>
      <c r="UM33" s="33"/>
      <c r="UN33" s="33"/>
      <c r="UO33" s="33"/>
      <c r="UP33" s="33"/>
      <c r="UQ33" s="74"/>
      <c r="UR33" s="33"/>
      <c r="US33" s="33"/>
      <c r="UT33" s="33"/>
      <c r="UU33" s="33"/>
      <c r="UV33" s="33"/>
      <c r="UW33" s="137"/>
      <c r="UX33" s="33"/>
      <c r="UY33" s="33"/>
      <c r="UZ33" s="33"/>
      <c r="VA33" s="33"/>
      <c r="VB33" s="33"/>
      <c r="VC33" s="74"/>
      <c r="VD33" s="64"/>
      <c r="VE33" s="64"/>
      <c r="VF33" s="64"/>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32"/>
      <c r="WI33" s="64"/>
      <c r="WJ33" s="64"/>
      <c r="WK33" s="64"/>
      <c r="WL33" s="33"/>
      <c r="WM33" s="132"/>
      <c r="WN33" s="33"/>
      <c r="WO33" s="33"/>
      <c r="WP33" s="33"/>
      <c r="WQ33" s="33"/>
      <c r="WR33" s="33"/>
      <c r="WS33" s="137"/>
      <c r="WT33" s="33"/>
      <c r="WU33" s="33"/>
      <c r="WV33" s="33"/>
      <c r="WW33" s="33"/>
      <c r="WX33" s="33"/>
      <c r="WY33" s="74"/>
      <c r="WZ33" s="33"/>
      <c r="XA33" s="33"/>
      <c r="XB33" s="33"/>
      <c r="XC33" s="33"/>
      <c r="XD33" s="33"/>
      <c r="XE33" s="137"/>
      <c r="XF33" s="33"/>
      <c r="XG33" s="33"/>
      <c r="XH33" s="33"/>
      <c r="XI33" s="33"/>
      <c r="XJ33" s="33"/>
      <c r="XK33" s="74"/>
      <c r="XL33" s="64"/>
      <c r="XM33" s="64"/>
      <c r="XN33" s="64"/>
      <c r="XO33" s="64"/>
      <c r="XP33" s="33"/>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32"/>
      <c r="YV33" s="33"/>
      <c r="YW33" s="33"/>
      <c r="YX33" s="33"/>
      <c r="YY33" s="33"/>
      <c r="YZ33" s="33"/>
      <c r="ZA33" s="137"/>
      <c r="ZB33" s="33"/>
      <c r="ZC33" s="33"/>
      <c r="ZD33" s="33"/>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32"/>
      <c r="AKE33" s="64"/>
      <c r="AKF33" s="64"/>
      <c r="AKG33" s="64"/>
      <c r="AKH33" s="33"/>
      <c r="AKI33" s="132"/>
      <c r="AKJ33" s="33"/>
      <c r="AKK33" s="33"/>
      <c r="AKL33" s="33"/>
      <c r="AKM33" s="33"/>
      <c r="AKN33" s="33"/>
      <c r="AKO33" s="137"/>
      <c r="AKP33" s="33"/>
      <c r="AKQ33" s="33"/>
      <c r="AKR33" s="33"/>
      <c r="AKS33" s="33"/>
      <c r="AKT33" s="33"/>
      <c r="AKU33" s="74"/>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32"/>
      <c r="AOU33" s="64"/>
      <c r="AOV33" s="64"/>
      <c r="AOW33" s="64"/>
      <c r="AOX33" s="33"/>
      <c r="AOY33" s="132"/>
      <c r="AOZ33" s="33"/>
      <c r="APA33" s="33"/>
      <c r="APB33" s="33"/>
      <c r="APC33" s="33"/>
      <c r="APD33" s="33"/>
      <c r="APE33" s="137"/>
      <c r="APF33" s="33"/>
      <c r="APG33" s="33"/>
      <c r="APH33" s="33"/>
      <c r="API33" s="33"/>
      <c r="APJ33" s="33"/>
      <c r="APK33" s="74"/>
      <c r="APL33" s="33"/>
      <c r="APM33" s="33"/>
      <c r="APN33" s="33"/>
      <c r="APO33" s="33"/>
      <c r="APP33" s="33"/>
      <c r="APQ33" s="137"/>
      <c r="APR33" s="33"/>
      <c r="APS33" s="33"/>
      <c r="APT33" s="33"/>
      <c r="APU33" s="33"/>
      <c r="APV33" s="33"/>
      <c r="APW33" s="74"/>
      <c r="APX33" s="64"/>
      <c r="APY33" s="64"/>
      <c r="APZ33" s="64"/>
      <c r="AQA33" s="64"/>
      <c r="AQB33" s="33"/>
      <c r="AQC33" s="137"/>
      <c r="AQD33" s="33"/>
      <c r="AQE33" s="33"/>
      <c r="AQF33" s="33"/>
      <c r="AQG33" s="33"/>
      <c r="AQH33" s="33"/>
      <c r="AQI33" s="74"/>
      <c r="AQJ33" s="33"/>
      <c r="AQK33" s="33"/>
      <c r="AQL33" s="33"/>
      <c r="AQM33" s="33"/>
      <c r="AQN33" s="33"/>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32"/>
      <c r="AYA33" s="64"/>
      <c r="AYB33" s="64"/>
      <c r="AYC33" s="64"/>
      <c r="AYD33" s="33"/>
      <c r="AYE33" s="132"/>
      <c r="AYF33" s="33"/>
      <c r="AYG33" s="33"/>
      <c r="AYH33" s="33"/>
      <c r="AYI33" s="33"/>
      <c r="AYJ33" s="33"/>
      <c r="AYK33" s="137"/>
      <c r="AYL33" s="33"/>
      <c r="AYM33" s="33"/>
      <c r="AYN33" s="33"/>
      <c r="AYO33" s="33"/>
      <c r="AYP33" s="33"/>
      <c r="AYQ33" s="74"/>
      <c r="AYR33" s="33"/>
      <c r="AYS33" s="33"/>
      <c r="AYT33" s="33"/>
      <c r="AYU33" s="33"/>
      <c r="AYV33" s="33"/>
      <c r="AYW33" s="137"/>
      <c r="AYX33" s="33"/>
      <c r="AYY33" s="33"/>
      <c r="AYZ33" s="33"/>
      <c r="AZA33" s="33"/>
      <c r="AZB33" s="33"/>
      <c r="AZC33" s="74"/>
      <c r="AZD33" s="64"/>
      <c r="AZE33" s="64"/>
      <c r="AZF33" s="64"/>
      <c r="AZG33" s="64"/>
      <c r="AZH33" s="33"/>
      <c r="AZI33" s="137"/>
      <c r="AZJ33" s="33"/>
      <c r="AZK33" s="33"/>
      <c r="AZL33" s="33"/>
      <c r="AZM33" s="33"/>
      <c r="AZN33" s="33"/>
      <c r="AZO33" s="74"/>
      <c r="AZP33" s="33"/>
      <c r="AZQ33" s="33"/>
      <c r="AZR33" s="33"/>
      <c r="AZS33" s="33"/>
      <c r="AZT33" s="33"/>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32"/>
      <c r="BHG33" s="64"/>
      <c r="BHH33" s="64"/>
      <c r="BHI33" s="64"/>
      <c r="BHJ33" s="33"/>
      <c r="BHK33" s="132"/>
      <c r="BHL33" s="33"/>
      <c r="BHM33" s="33"/>
      <c r="BHN33" s="33"/>
      <c r="BHO33" s="33"/>
      <c r="BHP33" s="33"/>
      <c r="BHQ33" s="137"/>
      <c r="BHR33" s="33"/>
      <c r="BHS33" s="33"/>
      <c r="BHT33" s="33"/>
      <c r="BHU33" s="33"/>
      <c r="BHV33" s="33"/>
      <c r="BHW33" s="74"/>
      <c r="BHX33" s="33"/>
      <c r="BHY33" s="33"/>
      <c r="BHZ33" s="33"/>
      <c r="BIA33" s="33"/>
      <c r="BIB33" s="33"/>
      <c r="BIC33" s="137"/>
      <c r="BID33" s="33"/>
      <c r="BIE33" s="33"/>
      <c r="BIF33" s="33"/>
      <c r="BIG33" s="33"/>
      <c r="BIH33" s="33"/>
      <c r="BII33" s="74"/>
      <c r="BIJ33" s="64"/>
      <c r="BIK33" s="64"/>
      <c r="BIL33" s="64"/>
      <c r="BIM33" s="64"/>
      <c r="BIN33" s="33"/>
      <c r="BIO33" s="137"/>
      <c r="BIP33" s="33"/>
      <c r="BIQ33" s="33"/>
      <c r="BIR33" s="33"/>
      <c r="BIS33" s="33"/>
      <c r="BIT33" s="33"/>
      <c r="BIU33" s="74"/>
      <c r="BIV33" s="33"/>
      <c r="BIW33" s="33"/>
      <c r="BIX33" s="33"/>
      <c r="BIY33" s="33"/>
      <c r="BIZ33" s="33"/>
      <c r="BJA33" s="137"/>
      <c r="BJB33" s="33"/>
      <c r="BJC33" s="33"/>
      <c r="BJD33" s="33"/>
      <c r="BJE33" s="33"/>
      <c r="BJF33" s="33"/>
      <c r="BJG33" s="74"/>
      <c r="BJH33" s="33"/>
      <c r="BJI33" s="33"/>
      <c r="BJJ33" s="33"/>
      <c r="BJK33" s="33"/>
      <c r="BJL33" s="33"/>
      <c r="BJM33" s="34"/>
      <c r="BJN33" s="32"/>
      <c r="BJO33" s="64"/>
      <c r="BJP33" s="64"/>
      <c r="BJQ33" s="64"/>
      <c r="BJR33" s="33"/>
      <c r="BJS33" s="132"/>
      <c r="BJT33" s="33"/>
      <c r="BJU33" s="33"/>
      <c r="BJV33" s="33"/>
      <c r="BJW33" s="33"/>
      <c r="BJX33" s="33"/>
      <c r="BJY33" s="137"/>
      <c r="BJZ33" s="33"/>
      <c r="BKA33" s="33"/>
      <c r="BKB33" s="33"/>
      <c r="BKC33" s="33"/>
      <c r="BKD33" s="33"/>
      <c r="BKE33" s="74"/>
      <c r="BKF33" s="33"/>
      <c r="BKG33" s="33"/>
      <c r="BKH33" s="33"/>
      <c r="BKI33" s="33"/>
      <c r="BKJ33" s="33"/>
      <c r="BKK33" s="137"/>
      <c r="BKL33" s="33"/>
      <c r="BKM33" s="33"/>
      <c r="BKN33" s="33"/>
      <c r="BKO33" s="33"/>
      <c r="BKP33" s="33"/>
      <c r="BKQ33" s="74"/>
      <c r="BKR33" s="64"/>
      <c r="BKS33" s="64"/>
      <c r="BKT33" s="64"/>
      <c r="BKU33" s="64"/>
      <c r="BKV33" s="33"/>
      <c r="BKW33" s="137"/>
      <c r="BKX33" s="33"/>
      <c r="BKY33" s="33"/>
      <c r="BKZ33" s="33"/>
      <c r="BLA33" s="33"/>
      <c r="BLB33" s="33"/>
      <c r="BLC33" s="74"/>
      <c r="BLD33" s="33"/>
      <c r="BLE33" s="33"/>
      <c r="BLF33" s="33"/>
      <c r="BLG33" s="33"/>
      <c r="BLH33" s="33"/>
      <c r="BLI33" s="137"/>
      <c r="BLJ33" s="33"/>
      <c r="BLK33" s="33"/>
      <c r="BLL33" s="33"/>
      <c r="BLM33" s="33"/>
      <c r="BLN33" s="33"/>
      <c r="BLO33" s="74"/>
      <c r="BLP33" s="33"/>
      <c r="BLQ33" s="33"/>
      <c r="BLR33" s="33"/>
      <c r="BLS33" s="33"/>
      <c r="BLT33" s="33"/>
      <c r="BLU33" s="34"/>
      <c r="BLV33" s="90"/>
    </row>
    <row r="34" spans="1:1686" ht="20.100000000000001" customHeight="1" x14ac:dyDescent="0.3">
      <c r="A34" s="100" t="s">
        <v>18</v>
      </c>
      <c r="B34" s="63" t="str">
        <f>IF(LEN(C53)=0,"",C53)</f>
        <v>Réalisation - Filtres</v>
      </c>
      <c r="C34" s="207"/>
      <c r="D34" s="148" t="str">
        <f t="shared" si="0"/>
        <v>0h</v>
      </c>
      <c r="E34" s="35">
        <v>0</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37"/>
      <c r="SL34" s="37"/>
      <c r="SM34" s="37"/>
      <c r="SN34" s="37"/>
      <c r="SO34" s="138"/>
      <c r="SP34" s="37"/>
      <c r="SQ34" s="37"/>
      <c r="SR34" s="37"/>
      <c r="SS34" s="37"/>
      <c r="ST34" s="37"/>
      <c r="SU34" s="75"/>
      <c r="SV34" s="65"/>
      <c r="SW34" s="65"/>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36"/>
      <c r="UA34" s="65"/>
      <c r="UB34" s="65"/>
      <c r="UC34" s="65"/>
      <c r="UD34" s="37"/>
      <c r="UE34" s="133"/>
      <c r="UF34" s="37"/>
      <c r="UG34" s="37"/>
      <c r="UH34" s="37"/>
      <c r="UI34" s="37"/>
      <c r="UJ34" s="37"/>
      <c r="UK34" s="138"/>
      <c r="UL34" s="37"/>
      <c r="UM34" s="37"/>
      <c r="UN34" s="37"/>
      <c r="UO34" s="37"/>
      <c r="UP34" s="37"/>
      <c r="UQ34" s="75"/>
      <c r="UR34" s="37"/>
      <c r="US34" s="37"/>
      <c r="UT34" s="37"/>
      <c r="UU34" s="37"/>
      <c r="UV34" s="37"/>
      <c r="UW34" s="138"/>
      <c r="UX34" s="37"/>
      <c r="UY34" s="37"/>
      <c r="UZ34" s="37"/>
      <c r="VA34" s="37"/>
      <c r="VB34" s="37"/>
      <c r="VC34" s="75"/>
      <c r="VD34" s="65"/>
      <c r="VE34" s="65"/>
      <c r="VF34" s="65"/>
      <c r="VG34" s="65"/>
      <c r="VH34" s="37"/>
      <c r="VI34" s="138"/>
      <c r="VJ34" s="37"/>
      <c r="VK34" s="37"/>
      <c r="VL34" s="37"/>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36"/>
      <c r="ADG34" s="65"/>
      <c r="ADH34" s="65"/>
      <c r="ADI34" s="65"/>
      <c r="ADJ34" s="37"/>
      <c r="ADK34" s="133"/>
      <c r="ADL34" s="37"/>
      <c r="ADM34" s="37"/>
      <c r="ADN34" s="37"/>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36"/>
      <c r="AHW34" s="65"/>
      <c r="AHX34" s="65"/>
      <c r="AHY34" s="65"/>
      <c r="AHZ34" s="37"/>
      <c r="AIA34" s="133"/>
      <c r="AIB34" s="37"/>
      <c r="AIC34" s="37"/>
      <c r="AID34" s="37"/>
      <c r="AIE34" s="37"/>
      <c r="AIF34" s="37"/>
      <c r="AIG34" s="138"/>
      <c r="AIH34" s="37"/>
      <c r="AII34" s="37"/>
      <c r="AIJ34" s="37"/>
      <c r="AIK34" s="37"/>
      <c r="AIL34" s="37"/>
      <c r="AIM34" s="75"/>
      <c r="AIN34" s="37"/>
      <c r="AIO34" s="37"/>
      <c r="AIP34" s="37"/>
      <c r="AIQ34" s="37"/>
      <c r="AIR34" s="37"/>
      <c r="AIS34" s="138"/>
      <c r="AIT34" s="37"/>
      <c r="AIU34" s="37"/>
      <c r="AIV34" s="37"/>
      <c r="AIW34" s="37"/>
      <c r="AIX34" s="37"/>
      <c r="AIY34" s="75"/>
      <c r="AIZ34" s="65"/>
      <c r="AJA34" s="65"/>
      <c r="AJB34" s="65"/>
      <c r="AJC34" s="65"/>
      <c r="AJD34" s="37"/>
      <c r="AJE34" s="138"/>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37"/>
      <c r="API34" s="37"/>
      <c r="APJ34" s="37"/>
      <c r="APK34" s="75"/>
      <c r="APL34" s="37"/>
      <c r="APM34" s="37"/>
      <c r="APN34" s="37"/>
      <c r="APO34" s="37"/>
      <c r="APP34" s="37"/>
      <c r="APQ34" s="138"/>
      <c r="APR34" s="37"/>
      <c r="APS34" s="37"/>
      <c r="APT34" s="37"/>
      <c r="APU34" s="37"/>
      <c r="APV34" s="37"/>
      <c r="APW34" s="75"/>
      <c r="APX34" s="65"/>
      <c r="APY34" s="65"/>
      <c r="APZ34" s="65"/>
      <c r="AQA34" s="65"/>
      <c r="AQB34" s="37"/>
      <c r="AQC34" s="138"/>
      <c r="AQD34" s="37"/>
      <c r="AQE34" s="37"/>
      <c r="AQF34" s="37"/>
      <c r="AQG34" s="37"/>
      <c r="AQH34" s="37"/>
      <c r="AQI34" s="75"/>
      <c r="AQJ34" s="37"/>
      <c r="AQK34" s="37"/>
      <c r="AQL34" s="37"/>
      <c r="AQM34" s="37"/>
      <c r="AQN34" s="37"/>
      <c r="AQO34" s="138"/>
      <c r="AQP34" s="37"/>
      <c r="AQQ34" s="37"/>
      <c r="AQR34" s="37"/>
      <c r="AQS34" s="37"/>
      <c r="AQT34" s="37"/>
      <c r="AQU34" s="75"/>
      <c r="AQV34" s="37"/>
      <c r="AQW34" s="37"/>
      <c r="AQX34" s="37"/>
      <c r="AQY34" s="37"/>
      <c r="AQZ34" s="37"/>
      <c r="ARA34" s="38"/>
      <c r="ARB34" s="36"/>
      <c r="ARC34" s="65"/>
      <c r="ARD34" s="65"/>
      <c r="ARE34" s="65"/>
      <c r="ARF34" s="37"/>
      <c r="ARG34" s="133"/>
      <c r="ARH34" s="37"/>
      <c r="ARI34" s="37"/>
      <c r="ARJ34" s="37"/>
      <c r="ARK34" s="37"/>
      <c r="ARL34" s="37"/>
      <c r="ARM34" s="138"/>
      <c r="ARN34" s="37"/>
      <c r="ARO34" s="37"/>
      <c r="ARP34" s="37"/>
      <c r="ARQ34" s="37"/>
      <c r="ARR34" s="37"/>
      <c r="ARS34" s="75"/>
      <c r="ART34" s="37"/>
      <c r="ARU34" s="37"/>
      <c r="ARV34" s="37"/>
      <c r="ARW34" s="37"/>
      <c r="ARX34" s="37"/>
      <c r="ARY34" s="138"/>
      <c r="ARZ34" s="37"/>
      <c r="ASA34" s="37"/>
      <c r="ASB34" s="37"/>
      <c r="ASC34" s="37"/>
      <c r="ASD34" s="37"/>
      <c r="ASE34" s="75"/>
      <c r="ASF34" s="65"/>
      <c r="ASG34" s="65"/>
      <c r="ASH34" s="65"/>
      <c r="ASI34" s="65"/>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36"/>
      <c r="BHG34" s="65"/>
      <c r="BHH34" s="65"/>
      <c r="BHI34" s="65"/>
      <c r="BHJ34" s="37"/>
      <c r="BHK34" s="133"/>
      <c r="BHL34" s="37"/>
      <c r="BHM34" s="37"/>
      <c r="BHN34" s="37"/>
      <c r="BHO34" s="37"/>
      <c r="BHP34" s="37"/>
      <c r="BHQ34" s="138"/>
      <c r="BHR34" s="37"/>
      <c r="BHS34" s="37"/>
      <c r="BHT34" s="37"/>
      <c r="BHU34" s="37"/>
      <c r="BHV34" s="37"/>
      <c r="BHW34" s="75"/>
      <c r="BHX34" s="37"/>
      <c r="BHY34" s="37"/>
      <c r="BHZ34" s="37"/>
      <c r="BIA34" s="37"/>
      <c r="BIB34" s="37"/>
      <c r="BIC34" s="138"/>
      <c r="BID34" s="37"/>
      <c r="BIE34" s="37"/>
      <c r="BIF34" s="37"/>
      <c r="BIG34" s="37"/>
      <c r="BIH34" s="37"/>
      <c r="BII34" s="75"/>
      <c r="BIJ34" s="65"/>
      <c r="BIK34" s="65"/>
      <c r="BIL34" s="65"/>
      <c r="BIM34" s="65"/>
      <c r="BIN34" s="37"/>
      <c r="BIO34" s="138"/>
      <c r="BIP34" s="37"/>
      <c r="BIQ34" s="37"/>
      <c r="BIR34" s="37"/>
      <c r="BIS34" s="37"/>
      <c r="BIT34" s="37"/>
      <c r="BIU34" s="75"/>
      <c r="BIV34" s="37"/>
      <c r="BIW34" s="37"/>
      <c r="BIX34" s="37"/>
      <c r="BIY34" s="37"/>
      <c r="BIZ34" s="37"/>
      <c r="BJA34" s="138"/>
      <c r="BJB34" s="37"/>
      <c r="BJC34" s="37"/>
      <c r="BJD34" s="37"/>
      <c r="BJE34" s="37"/>
      <c r="BJF34" s="37"/>
      <c r="BJG34" s="75"/>
      <c r="BJH34" s="37"/>
      <c r="BJI34" s="37"/>
      <c r="BJJ34" s="37"/>
      <c r="BJK34" s="37"/>
      <c r="BJL34" s="37"/>
      <c r="BJM34" s="38"/>
      <c r="BJN34" s="36"/>
      <c r="BJO34" s="65"/>
      <c r="BJP34" s="65"/>
      <c r="BJQ34" s="65"/>
      <c r="BJR34" s="37"/>
      <c r="BJS34" s="133"/>
      <c r="BJT34" s="37"/>
      <c r="BJU34" s="37"/>
      <c r="BJV34" s="37"/>
      <c r="BJW34" s="37"/>
      <c r="BJX34" s="37"/>
      <c r="BJY34" s="138"/>
      <c r="BJZ34" s="37"/>
      <c r="BKA34" s="37"/>
      <c r="BKB34" s="37"/>
      <c r="BKC34" s="37"/>
      <c r="BKD34" s="37"/>
      <c r="BKE34" s="75"/>
      <c r="BKF34" s="37"/>
      <c r="BKG34" s="37"/>
      <c r="BKH34" s="37"/>
      <c r="BKI34" s="37"/>
      <c r="BKJ34" s="37"/>
      <c r="BKK34" s="138"/>
      <c r="BKL34" s="37"/>
      <c r="BKM34" s="37"/>
      <c r="BKN34" s="37"/>
      <c r="BKO34" s="37"/>
      <c r="BKP34" s="37"/>
      <c r="BKQ34" s="75"/>
      <c r="BKR34" s="65"/>
      <c r="BKS34" s="65"/>
      <c r="BKT34" s="65"/>
      <c r="BKU34" s="65"/>
      <c r="BKV34" s="37"/>
      <c r="BKW34" s="138"/>
      <c r="BKX34" s="37"/>
      <c r="BKY34" s="37"/>
      <c r="BKZ34" s="37"/>
      <c r="BLA34" s="37"/>
      <c r="BLB34" s="37"/>
      <c r="BLC34" s="75"/>
      <c r="BLD34" s="37"/>
      <c r="BLE34" s="37"/>
      <c r="BLF34" s="37"/>
      <c r="BLG34" s="37"/>
      <c r="BLH34" s="37"/>
      <c r="BLI34" s="138"/>
      <c r="BLJ34" s="37"/>
      <c r="BLK34" s="37"/>
      <c r="BLL34" s="37"/>
      <c r="BLM34" s="37"/>
      <c r="BLN34" s="37"/>
      <c r="BLO34" s="75"/>
      <c r="BLP34" s="37"/>
      <c r="BLQ34" s="37"/>
      <c r="BLR34" s="37"/>
      <c r="BLS34" s="37"/>
      <c r="BLT34" s="37"/>
      <c r="BLU34" s="38"/>
      <c r="BLV34" s="90"/>
    </row>
    <row r="35" spans="1:1686" ht="20.100000000000001" customHeight="1" x14ac:dyDescent="0.25">
      <c r="A35" s="100" t="s">
        <v>17</v>
      </c>
      <c r="B35" s="63" t="str">
        <f>IF(LEN(C55)=0,"",C55)</f>
        <v>Réalisation - Système de mise en attente des points de crédits</v>
      </c>
      <c r="C35" s="205" t="s">
        <v>116</v>
      </c>
      <c r="D35" s="146" t="str">
        <f t="shared" si="0"/>
        <v>2h25min</v>
      </c>
      <c r="E35" s="39">
        <v>29</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41"/>
      <c r="IQ35" s="134"/>
      <c r="IR35" s="41"/>
      <c r="IS35" s="41"/>
      <c r="IT35" s="41"/>
      <c r="IU35" s="41"/>
      <c r="IV35" s="41"/>
      <c r="IW35" s="139"/>
      <c r="IX35" s="41"/>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40"/>
      <c r="KU35" s="66"/>
      <c r="KV35" s="66"/>
      <c r="KW35" s="66"/>
      <c r="KX35" s="41"/>
      <c r="KY35" s="134"/>
      <c r="KZ35" s="41"/>
      <c r="LA35" s="41"/>
      <c r="LB35" s="41"/>
      <c r="LC35" s="41"/>
      <c r="LD35" s="41"/>
      <c r="LE35" s="139"/>
      <c r="LF35" s="41"/>
      <c r="LG35" s="41"/>
      <c r="LH35" s="41"/>
      <c r="LI35" s="41"/>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40"/>
      <c r="NC35" s="66"/>
      <c r="ND35" s="66"/>
      <c r="NE35" s="66"/>
      <c r="NF35" s="41"/>
      <c r="NG35" s="134"/>
      <c r="NH35" s="41"/>
      <c r="NI35" s="41"/>
      <c r="NJ35" s="41"/>
      <c r="NK35" s="41"/>
      <c r="NL35" s="41"/>
      <c r="NM35" s="139"/>
      <c r="NN35" s="41"/>
      <c r="NO35" s="41"/>
      <c r="NP35" s="41"/>
      <c r="NQ35" s="41"/>
      <c r="NR35" s="41"/>
      <c r="NS35" s="76"/>
      <c r="NT35" s="41"/>
      <c r="NU35" s="41"/>
      <c r="NV35" s="41"/>
      <c r="NW35" s="41"/>
      <c r="NX35" s="41"/>
      <c r="NY35" s="139"/>
      <c r="NZ35" s="41"/>
      <c r="OA35" s="41"/>
      <c r="OB35" s="41"/>
      <c r="OC35" s="41"/>
      <c r="OD35" s="41"/>
      <c r="OE35" s="76"/>
      <c r="OF35" s="66"/>
      <c r="OG35" s="66"/>
      <c r="OH35" s="66"/>
      <c r="OI35" s="66"/>
      <c r="OJ35" s="41"/>
      <c r="OK35" s="139"/>
      <c r="OL35" s="41"/>
      <c r="OM35" s="41"/>
      <c r="ON35" s="41"/>
      <c r="OO35" s="41"/>
      <c r="OP35" s="41"/>
      <c r="OQ35" s="76"/>
      <c r="OR35" s="41"/>
      <c r="OS35" s="41"/>
      <c r="OT35" s="41"/>
      <c r="OU35" s="41"/>
      <c r="OV35" s="41"/>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41"/>
      <c r="UT35" s="41"/>
      <c r="UU35" s="41"/>
      <c r="UV35" s="41"/>
      <c r="UW35" s="139"/>
      <c r="UX35" s="41"/>
      <c r="UY35" s="41"/>
      <c r="UZ35" s="41"/>
      <c r="VA35" s="41"/>
      <c r="VB35" s="41"/>
      <c r="VC35" s="76"/>
      <c r="VD35" s="66"/>
      <c r="VE35" s="66"/>
      <c r="VF35" s="66"/>
      <c r="VG35" s="66"/>
      <c r="VH35" s="41"/>
      <c r="VI35" s="139"/>
      <c r="VJ35" s="41"/>
      <c r="VK35" s="41"/>
      <c r="VL35" s="41"/>
      <c r="VM35" s="41"/>
      <c r="VN35" s="41"/>
      <c r="VO35" s="76"/>
      <c r="VP35" s="41"/>
      <c r="VQ35" s="41"/>
      <c r="VR35" s="41"/>
      <c r="VS35" s="41"/>
      <c r="VT35" s="41"/>
      <c r="VU35" s="139"/>
      <c r="VV35" s="41"/>
      <c r="VW35" s="41"/>
      <c r="VX35" s="41"/>
      <c r="VY35" s="41"/>
      <c r="VZ35" s="41"/>
      <c r="WA35" s="76"/>
      <c r="WB35" s="41"/>
      <c r="WC35" s="41"/>
      <c r="WD35" s="41"/>
      <c r="WE35" s="41"/>
      <c r="WF35" s="41"/>
      <c r="WG35" s="42"/>
      <c r="WH35" s="175"/>
      <c r="WI35" s="176"/>
      <c r="WJ35" s="176"/>
      <c r="WK35" s="176"/>
      <c r="WL35" s="177"/>
      <c r="WM35" s="178"/>
      <c r="WN35" s="177"/>
      <c r="WO35" s="177"/>
      <c r="WP35" s="177"/>
      <c r="WQ35" s="177"/>
      <c r="WR35" s="177"/>
      <c r="WS35" s="179"/>
      <c r="WT35" s="41"/>
      <c r="WU35" s="41"/>
      <c r="WV35" s="41"/>
      <c r="WW35" s="41"/>
      <c r="WX35" s="41"/>
      <c r="WY35" s="76"/>
      <c r="WZ35" s="41"/>
      <c r="XA35" s="41"/>
      <c r="XB35" s="41"/>
      <c r="XC35" s="177"/>
      <c r="XD35" s="177"/>
      <c r="XE35" s="179"/>
      <c r="XF35" s="177"/>
      <c r="XG35" s="177"/>
      <c r="XH35" s="177"/>
      <c r="XI35" s="177"/>
      <c r="XJ35" s="177"/>
      <c r="XK35" s="180"/>
      <c r="XL35" s="176"/>
      <c r="XM35" s="176"/>
      <c r="XN35" s="176"/>
      <c r="XO35" s="176"/>
      <c r="XP35" s="177"/>
      <c r="XQ35" s="179"/>
      <c r="XR35" s="177"/>
      <c r="XS35" s="177"/>
      <c r="XT35" s="41"/>
      <c r="XU35" s="41"/>
      <c r="XV35" s="41"/>
      <c r="XW35" s="76"/>
      <c r="XX35" s="41"/>
      <c r="XY35" s="41"/>
      <c r="XZ35" s="41"/>
      <c r="YA35" s="41"/>
      <c r="YB35" s="41"/>
      <c r="YC35" s="139"/>
      <c r="YD35" s="41"/>
      <c r="YE35" s="41"/>
      <c r="YF35" s="41"/>
      <c r="YG35" s="41"/>
      <c r="YH35" s="41"/>
      <c r="YI35" s="76"/>
      <c r="YJ35" s="41"/>
      <c r="YK35" s="41"/>
      <c r="YL35" s="41"/>
      <c r="YM35" s="41"/>
      <c r="YN35" s="41"/>
      <c r="YO35" s="42"/>
      <c r="YP35" s="40"/>
      <c r="YQ35" s="66"/>
      <c r="YR35" s="66"/>
      <c r="YS35" s="66"/>
      <c r="YT35" s="41"/>
      <c r="YU35" s="134"/>
      <c r="YV35" s="41"/>
      <c r="YW35" s="41"/>
      <c r="YX35" s="41"/>
      <c r="YY35" s="41"/>
      <c r="YZ35" s="41"/>
      <c r="ZA35" s="139"/>
      <c r="ZB35" s="41"/>
      <c r="ZC35" s="41"/>
      <c r="ZD35" s="41"/>
      <c r="ZE35" s="41"/>
      <c r="ZF35" s="41"/>
      <c r="ZG35" s="76"/>
      <c r="ZH35" s="41"/>
      <c r="ZI35" s="41"/>
      <c r="ZJ35" s="41"/>
      <c r="ZK35" s="41"/>
      <c r="ZL35" s="41"/>
      <c r="ZM35" s="139"/>
      <c r="ZN35" s="41"/>
      <c r="ZO35" s="41"/>
      <c r="ZP35" s="41"/>
      <c r="ZQ35" s="41"/>
      <c r="ZR35" s="41"/>
      <c r="ZS35" s="76"/>
      <c r="ZT35" s="66"/>
      <c r="ZU35" s="66"/>
      <c r="ZV35" s="66"/>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40"/>
      <c r="AAY35" s="66"/>
      <c r="AAZ35" s="66"/>
      <c r="ABA35" s="66"/>
      <c r="ABB35" s="41"/>
      <c r="ABC35" s="134"/>
      <c r="ABD35" s="41"/>
      <c r="ABE35" s="41"/>
      <c r="ABF35" s="41"/>
      <c r="ABG35" s="41"/>
      <c r="ABH35" s="41"/>
      <c r="ABI35" s="139"/>
      <c r="ABJ35" s="41"/>
      <c r="ABK35" s="41"/>
      <c r="ABL35" s="41"/>
      <c r="ABM35" s="41"/>
      <c r="ABN35" s="41"/>
      <c r="ABO35" s="76"/>
      <c r="ABP35" s="41"/>
      <c r="ABQ35" s="41"/>
      <c r="ABR35" s="41"/>
      <c r="ABS35" s="41"/>
      <c r="ABT35" s="41"/>
      <c r="ABU35" s="139"/>
      <c r="ABV35" s="41"/>
      <c r="ABW35" s="41"/>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40"/>
      <c r="ADG35" s="66"/>
      <c r="ADH35" s="66"/>
      <c r="ADI35" s="66"/>
      <c r="ADJ35" s="41"/>
      <c r="ADK35" s="134"/>
      <c r="ADL35" s="41"/>
      <c r="ADM35" s="41"/>
      <c r="ADN35" s="41"/>
      <c r="ADO35" s="41"/>
      <c r="ADP35" s="41"/>
      <c r="ADQ35" s="139"/>
      <c r="ADR35" s="41"/>
      <c r="ADS35" s="41"/>
      <c r="ADT35" s="41"/>
      <c r="ADU35" s="41"/>
      <c r="ADV35" s="41"/>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40"/>
      <c r="AFO35" s="66"/>
      <c r="AFP35" s="66"/>
      <c r="AFQ35" s="66"/>
      <c r="AFR35" s="41"/>
      <c r="AFS35" s="134"/>
      <c r="AFT35" s="41"/>
      <c r="AFU35" s="41"/>
      <c r="AFV35" s="41"/>
      <c r="AFW35" s="41"/>
      <c r="AFX35" s="41"/>
      <c r="AFY35" s="139"/>
      <c r="AFZ35" s="41"/>
      <c r="AGA35" s="41"/>
      <c r="AGB35" s="41"/>
      <c r="AGC35" s="41"/>
      <c r="AGD35" s="41"/>
      <c r="AGE35" s="76"/>
      <c r="AGF35" s="41"/>
      <c r="AGG35" s="41"/>
      <c r="AGH35" s="41"/>
      <c r="AGI35" s="41"/>
      <c r="AGJ35" s="41"/>
      <c r="AGK35" s="139"/>
      <c r="AGL35" s="41"/>
      <c r="AGM35" s="41"/>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40"/>
      <c r="AHW35" s="66"/>
      <c r="AHX35" s="66"/>
      <c r="AHY35" s="66"/>
      <c r="AHZ35" s="41"/>
      <c r="AIA35" s="134"/>
      <c r="AIB35" s="41"/>
      <c r="AIC35" s="41"/>
      <c r="AID35" s="41"/>
      <c r="AIE35" s="41"/>
      <c r="AIF35" s="41"/>
      <c r="AIG35" s="139"/>
      <c r="AIH35" s="41"/>
      <c r="AII35" s="41"/>
      <c r="AIJ35" s="41"/>
      <c r="AIK35" s="41"/>
      <c r="AIL35" s="41"/>
      <c r="AIM35" s="76"/>
      <c r="AIN35" s="41"/>
      <c r="AIO35" s="41"/>
      <c r="AIP35" s="41"/>
      <c r="AIQ35" s="41"/>
      <c r="AIR35" s="41"/>
      <c r="AIS35" s="139"/>
      <c r="AIT35" s="41"/>
      <c r="AIU35" s="41"/>
      <c r="AIV35" s="41"/>
      <c r="AIW35" s="41"/>
      <c r="AIX35" s="41"/>
      <c r="AIY35" s="76"/>
      <c r="AIZ35" s="66"/>
      <c r="AJA35" s="66"/>
      <c r="AJB35" s="66"/>
      <c r="AJC35" s="66"/>
      <c r="AJD35" s="41"/>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40"/>
      <c r="AKE35" s="66"/>
      <c r="AKF35" s="66"/>
      <c r="AKG35" s="66"/>
      <c r="AKH35" s="41"/>
      <c r="AKI35" s="134"/>
      <c r="AKJ35" s="41"/>
      <c r="AKK35" s="41"/>
      <c r="AKL35" s="41"/>
      <c r="AKM35" s="41"/>
      <c r="AKN35" s="41"/>
      <c r="AKO35" s="139"/>
      <c r="AKP35" s="41"/>
      <c r="AKQ35" s="41"/>
      <c r="AKR35" s="41"/>
      <c r="AKS35" s="41"/>
      <c r="AKT35" s="41"/>
      <c r="AKU35" s="76"/>
      <c r="AKV35" s="41"/>
      <c r="AKW35" s="41"/>
      <c r="AKX35" s="41"/>
      <c r="AKY35" s="41"/>
      <c r="AKZ35" s="41"/>
      <c r="ALA35" s="139"/>
      <c r="ALB35" s="41"/>
      <c r="ALC35" s="41"/>
      <c r="ALD35" s="41"/>
      <c r="ALE35" s="41"/>
      <c r="ALF35" s="41"/>
      <c r="ALG35" s="76"/>
      <c r="ALH35" s="66"/>
      <c r="ALI35" s="66"/>
      <c r="ALJ35" s="66"/>
      <c r="ALK35" s="66"/>
      <c r="ALL35" s="41"/>
      <c r="ALM35" s="13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40"/>
      <c r="AMM35" s="66"/>
      <c r="AMN35" s="66"/>
      <c r="AMO35" s="66"/>
      <c r="AMP35" s="41"/>
      <c r="AMQ35" s="134"/>
      <c r="AMR35" s="41"/>
      <c r="AMS35" s="41"/>
      <c r="AMT35" s="41"/>
      <c r="AMU35" s="41"/>
      <c r="AMV35" s="41"/>
      <c r="AMW35" s="139"/>
      <c r="AMX35" s="41"/>
      <c r="AMY35" s="41"/>
      <c r="AMZ35" s="41"/>
      <c r="ANA35" s="41"/>
      <c r="ANB35" s="41"/>
      <c r="ANC35" s="76"/>
      <c r="AND35" s="41"/>
      <c r="ANE35" s="41"/>
      <c r="ANF35" s="41"/>
      <c r="ANG35" s="41"/>
      <c r="ANH35" s="41"/>
      <c r="ANI35" s="139"/>
      <c r="ANJ35" s="41"/>
      <c r="ANK35" s="41"/>
      <c r="ANL35" s="41"/>
      <c r="ANM35" s="41"/>
      <c r="ANN35" s="41"/>
      <c r="ANO35" s="76"/>
      <c r="ANP35" s="66"/>
      <c r="ANQ35" s="66"/>
      <c r="ANR35" s="66"/>
      <c r="ANS35" s="66"/>
      <c r="ANT35" s="41"/>
      <c r="ANU35" s="13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40"/>
      <c r="AOU35" s="66"/>
      <c r="AOV35" s="66"/>
      <c r="AOW35" s="66"/>
      <c r="AOX35" s="41"/>
      <c r="AOY35" s="134"/>
      <c r="AOZ35" s="41"/>
      <c r="APA35" s="41"/>
      <c r="APB35" s="41"/>
      <c r="APC35" s="41"/>
      <c r="APD35" s="41"/>
      <c r="APE35" s="139"/>
      <c r="APF35" s="41"/>
      <c r="APG35" s="41"/>
      <c r="APH35" s="41"/>
      <c r="API35" s="41"/>
      <c r="APJ35" s="41"/>
      <c r="APK35" s="76"/>
      <c r="APL35" s="41"/>
      <c r="APM35" s="41"/>
      <c r="APN35" s="41"/>
      <c r="APO35" s="41"/>
      <c r="APP35" s="41"/>
      <c r="APQ35" s="139"/>
      <c r="APR35" s="41"/>
      <c r="APS35" s="41"/>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41"/>
      <c r="ARJ35" s="41"/>
      <c r="ARK35" s="41"/>
      <c r="ARL35" s="41"/>
      <c r="ARM35" s="139"/>
      <c r="ARN35" s="41"/>
      <c r="ARO35" s="41"/>
      <c r="ARP35" s="41"/>
      <c r="ARQ35" s="41"/>
      <c r="ARR35" s="41"/>
      <c r="ARS35" s="76"/>
      <c r="ART35" s="41"/>
      <c r="ARU35" s="41"/>
      <c r="ARV35" s="41"/>
      <c r="ARW35" s="41"/>
      <c r="ARX35" s="41"/>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41"/>
      <c r="ATR35" s="41"/>
      <c r="ATS35" s="41"/>
      <c r="ATT35" s="41"/>
      <c r="ATU35" s="139"/>
      <c r="ATV35" s="41"/>
      <c r="ATW35" s="41"/>
      <c r="ATX35" s="41"/>
      <c r="ATY35" s="41"/>
      <c r="ATZ35" s="41"/>
      <c r="AUA35" s="76"/>
      <c r="AUB35" s="41"/>
      <c r="AUC35" s="41"/>
      <c r="AUD35" s="41"/>
      <c r="AUE35" s="41"/>
      <c r="AUF35" s="41"/>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40"/>
      <c r="AVS35" s="66"/>
      <c r="AVT35" s="66"/>
      <c r="AVU35" s="66"/>
      <c r="AVV35" s="41"/>
      <c r="AVW35" s="134"/>
      <c r="AVX35" s="41"/>
      <c r="AVY35" s="41"/>
      <c r="AVZ35" s="41"/>
      <c r="AWA35" s="41"/>
      <c r="AWB35" s="41"/>
      <c r="AWC35" s="139"/>
      <c r="AWD35" s="41"/>
      <c r="AWE35" s="41"/>
      <c r="AWF35" s="41"/>
      <c r="AWG35" s="41"/>
      <c r="AWH35" s="41"/>
      <c r="AWI35" s="76"/>
      <c r="AWJ35" s="41"/>
      <c r="AWK35" s="41"/>
      <c r="AWL35" s="41"/>
      <c r="AWM35" s="41"/>
      <c r="AWN35" s="41"/>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40"/>
      <c r="AYA35" s="66"/>
      <c r="AYB35" s="66"/>
      <c r="AYC35" s="66"/>
      <c r="AYD35" s="41"/>
      <c r="AYE35" s="134"/>
      <c r="AYF35" s="41"/>
      <c r="AYG35" s="41"/>
      <c r="AYH35" s="41"/>
      <c r="AYI35" s="41"/>
      <c r="AYJ35" s="41"/>
      <c r="AYK35" s="139"/>
      <c r="AYL35" s="41"/>
      <c r="AYM35" s="41"/>
      <c r="AYN35" s="41"/>
      <c r="AYO35" s="41"/>
      <c r="AYP35" s="41"/>
      <c r="AYQ35" s="76"/>
      <c r="AYR35" s="41"/>
      <c r="AYS35" s="41"/>
      <c r="AYT35" s="41"/>
      <c r="AYU35" s="41"/>
      <c r="AYV35" s="41"/>
      <c r="AYW35" s="139"/>
      <c r="AYX35" s="41"/>
      <c r="AYY35" s="41"/>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40"/>
      <c r="BAI35" s="66"/>
      <c r="BAJ35" s="66"/>
      <c r="BAK35" s="66"/>
      <c r="BAL35" s="41"/>
      <c r="BAM35" s="134"/>
      <c r="BAN35" s="41"/>
      <c r="BAO35" s="41"/>
      <c r="BAP35" s="41"/>
      <c r="BAQ35" s="41"/>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40"/>
      <c r="BHG35" s="66"/>
      <c r="BHH35" s="66"/>
      <c r="BHI35" s="66"/>
      <c r="BHJ35" s="41"/>
      <c r="BHK35" s="134"/>
      <c r="BHL35" s="41"/>
      <c r="BHM35" s="41"/>
      <c r="BHN35" s="41"/>
      <c r="BHO35" s="41"/>
      <c r="BHP35" s="41"/>
      <c r="BHQ35" s="139"/>
      <c r="BHR35" s="41"/>
      <c r="BHS35" s="41"/>
      <c r="BHT35" s="41"/>
      <c r="BHU35" s="41"/>
      <c r="BHV35" s="41"/>
      <c r="BHW35" s="76"/>
      <c r="BHX35" s="41"/>
      <c r="BHY35" s="41"/>
      <c r="BHZ35" s="41"/>
      <c r="BIA35" s="41"/>
      <c r="BIB35" s="41"/>
      <c r="BIC35" s="139"/>
      <c r="BID35" s="41"/>
      <c r="BIE35" s="41"/>
      <c r="BIF35" s="41"/>
      <c r="BIG35" s="41"/>
      <c r="BIH35" s="41"/>
      <c r="BII35" s="76"/>
      <c r="BIJ35" s="66"/>
      <c r="BIK35" s="66"/>
      <c r="BIL35" s="66"/>
      <c r="BIM35" s="66"/>
      <c r="BIN35" s="41"/>
      <c r="BIO35" s="139"/>
      <c r="BIP35" s="41"/>
      <c r="BIQ35" s="41"/>
      <c r="BIR35" s="41"/>
      <c r="BIS35" s="41"/>
      <c r="BIT35" s="41"/>
      <c r="BIU35" s="76"/>
      <c r="BIV35" s="41"/>
      <c r="BIW35" s="41"/>
      <c r="BIX35" s="41"/>
      <c r="BIY35" s="41"/>
      <c r="BIZ35" s="41"/>
      <c r="BJA35" s="139"/>
      <c r="BJB35" s="41"/>
      <c r="BJC35" s="41"/>
      <c r="BJD35" s="41"/>
      <c r="BJE35" s="41"/>
      <c r="BJF35" s="41"/>
      <c r="BJG35" s="76"/>
      <c r="BJH35" s="41"/>
      <c r="BJI35" s="41"/>
      <c r="BJJ35" s="41"/>
      <c r="BJK35" s="41"/>
      <c r="BJL35" s="41"/>
      <c r="BJM35" s="42"/>
      <c r="BJN35" s="40"/>
      <c r="BJO35" s="66"/>
      <c r="BJP35" s="66"/>
      <c r="BJQ35" s="66"/>
      <c r="BJR35" s="41"/>
      <c r="BJS35" s="134"/>
      <c r="BJT35" s="41"/>
      <c r="BJU35" s="41"/>
      <c r="BJV35" s="41"/>
      <c r="BJW35" s="41"/>
      <c r="BJX35" s="41"/>
      <c r="BJY35" s="139"/>
      <c r="BJZ35" s="41"/>
      <c r="BKA35" s="41"/>
      <c r="BKB35" s="41"/>
      <c r="BKC35" s="41"/>
      <c r="BKD35" s="41"/>
      <c r="BKE35" s="76"/>
      <c r="BKF35" s="41"/>
      <c r="BKG35" s="41"/>
      <c r="BKH35" s="41"/>
      <c r="BKI35" s="41"/>
      <c r="BKJ35" s="41"/>
      <c r="BKK35" s="139"/>
      <c r="BKL35" s="41"/>
      <c r="BKM35" s="41"/>
      <c r="BKN35" s="41"/>
      <c r="BKO35" s="41"/>
      <c r="BKP35" s="41"/>
      <c r="BKQ35" s="76"/>
      <c r="BKR35" s="66"/>
      <c r="BKS35" s="66"/>
      <c r="BKT35" s="66"/>
      <c r="BKU35" s="66"/>
      <c r="BKV35" s="41"/>
      <c r="BKW35" s="139"/>
      <c r="BKX35" s="41"/>
      <c r="BKY35" s="41"/>
      <c r="BKZ35" s="41"/>
      <c r="BLA35" s="41"/>
      <c r="BLB35" s="41"/>
      <c r="BLC35" s="76"/>
      <c r="BLD35" s="41"/>
      <c r="BLE35" s="41"/>
      <c r="BLF35" s="41"/>
      <c r="BLG35" s="41"/>
      <c r="BLH35" s="41"/>
      <c r="BLI35" s="139"/>
      <c r="BLJ35" s="41"/>
      <c r="BLK35" s="41"/>
      <c r="BLL35" s="41"/>
      <c r="BLM35" s="41"/>
      <c r="BLN35" s="41"/>
      <c r="BLO35" s="76"/>
      <c r="BLP35" s="41"/>
      <c r="BLQ35" s="41"/>
      <c r="BLR35" s="41"/>
      <c r="BLS35" s="41"/>
      <c r="BLT35" s="41"/>
      <c r="BLU35" s="42"/>
      <c r="BLV35" s="90"/>
    </row>
    <row r="36" spans="1:1686" ht="20.100000000000001" customHeight="1" x14ac:dyDescent="0.25">
      <c r="A36" s="100" t="s">
        <v>18</v>
      </c>
      <c r="B36" s="63" t="str">
        <f>IF(LEN(C57)=0,"",C57)</f>
        <v>Doc - Manuel d'installation</v>
      </c>
      <c r="C36" s="207"/>
      <c r="D36" s="147" t="str">
        <f t="shared" si="0"/>
        <v>0h</v>
      </c>
      <c r="E36" s="27">
        <v>0</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28"/>
      <c r="KU36" s="67"/>
      <c r="KV36" s="67"/>
      <c r="KW36" s="67"/>
      <c r="KX36" s="29"/>
      <c r="KY36" s="131"/>
      <c r="KZ36" s="29"/>
      <c r="LA36" s="29"/>
      <c r="LB36" s="29"/>
      <c r="LC36" s="29"/>
      <c r="LD36" s="29"/>
      <c r="LE36" s="136"/>
      <c r="LF36" s="29"/>
      <c r="LG36" s="29"/>
      <c r="LH36" s="29"/>
      <c r="LI36" s="29"/>
      <c r="LJ36" s="29"/>
      <c r="LK36" s="73"/>
      <c r="LL36" s="29"/>
      <c r="LM36" s="29"/>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29"/>
      <c r="UP36" s="29"/>
      <c r="UQ36" s="73"/>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8"/>
      <c r="WI36" s="67"/>
      <c r="WJ36" s="67"/>
      <c r="WK36" s="67"/>
      <c r="WL36" s="29"/>
      <c r="WM36" s="131"/>
      <c r="WN36" s="29"/>
      <c r="WO36" s="29"/>
      <c r="WP36" s="29"/>
      <c r="WQ36" s="29"/>
      <c r="WR36" s="29"/>
      <c r="WS36" s="136"/>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8"/>
      <c r="AFO36" s="67"/>
      <c r="AFP36" s="67"/>
      <c r="AFQ36" s="67"/>
      <c r="AFR36" s="29"/>
      <c r="AFS36" s="131"/>
      <c r="AFT36" s="29"/>
      <c r="AFU36" s="29"/>
      <c r="AFV36" s="29"/>
      <c r="AFW36" s="29"/>
      <c r="AFX36" s="29"/>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67"/>
      <c r="AHY36" s="67"/>
      <c r="AHZ36" s="29"/>
      <c r="AIA36" s="131"/>
      <c r="AIB36" s="29"/>
      <c r="AIC36" s="29"/>
      <c r="AID36" s="29"/>
      <c r="AIE36" s="29"/>
      <c r="AIF36" s="29"/>
      <c r="AIG36" s="136"/>
      <c r="AIH36" s="29"/>
      <c r="AII36" s="29"/>
      <c r="AIJ36" s="29"/>
      <c r="AIK36" s="29"/>
      <c r="AIL36" s="29"/>
      <c r="AIM36" s="73"/>
      <c r="AIN36" s="29"/>
      <c r="AIO36" s="29"/>
      <c r="AIP36" s="29"/>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28"/>
      <c r="AKE36" s="67"/>
      <c r="AKF36" s="67"/>
      <c r="AKG36" s="67"/>
      <c r="AKH36" s="29"/>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8"/>
      <c r="AOU36" s="67"/>
      <c r="AOV36" s="67"/>
      <c r="AOW36" s="67"/>
      <c r="AOX36" s="29"/>
      <c r="AOY36" s="131"/>
      <c r="AOZ36" s="29"/>
      <c r="APA36" s="29"/>
      <c r="APB36" s="29"/>
      <c r="APC36" s="29"/>
      <c r="APD36" s="29"/>
      <c r="APE36" s="136"/>
      <c r="APF36" s="29"/>
      <c r="APG36" s="29"/>
      <c r="APH36" s="29"/>
      <c r="API36" s="29"/>
      <c r="APJ36" s="29"/>
      <c r="APK36" s="73"/>
      <c r="APL36" s="29"/>
      <c r="APM36" s="29"/>
      <c r="APN36" s="29"/>
      <c r="APO36" s="29"/>
      <c r="APP36" s="29"/>
      <c r="APQ36" s="136"/>
      <c r="APR36" s="29"/>
      <c r="APS36" s="29"/>
      <c r="APT36" s="29"/>
      <c r="APU36" s="29"/>
      <c r="APV36" s="29"/>
      <c r="APW36" s="73"/>
      <c r="APX36" s="67"/>
      <c r="APY36" s="67"/>
      <c r="APZ36" s="67"/>
      <c r="AQA36" s="6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67"/>
      <c r="AUO36" s="67"/>
      <c r="AUP36" s="67"/>
      <c r="AUQ36" s="67"/>
      <c r="AUR36" s="29"/>
      <c r="AUS36" s="136"/>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28"/>
      <c r="BHG36" s="67"/>
      <c r="BHH36" s="67"/>
      <c r="BHI36" s="67"/>
      <c r="BHJ36" s="29"/>
      <c r="BHK36" s="131"/>
      <c r="BHL36" s="29"/>
      <c r="BHM36" s="29"/>
      <c r="BHN36" s="29"/>
      <c r="BHO36" s="29"/>
      <c r="BHP36" s="29"/>
      <c r="BHQ36" s="136"/>
      <c r="BHR36" s="29"/>
      <c r="BHS36" s="29"/>
      <c r="BHT36" s="29"/>
      <c r="BHU36" s="29"/>
      <c r="BHV36" s="29"/>
      <c r="BHW36" s="73"/>
      <c r="BHX36" s="29"/>
      <c r="BHY36" s="29"/>
      <c r="BHZ36" s="29"/>
      <c r="BIA36" s="29"/>
      <c r="BIB36" s="29"/>
      <c r="BIC36" s="136"/>
      <c r="BID36" s="29"/>
      <c r="BIE36" s="29"/>
      <c r="BIF36" s="29"/>
      <c r="BIG36" s="29"/>
      <c r="BIH36" s="29"/>
      <c r="BII36" s="73"/>
      <c r="BIJ36" s="67"/>
      <c r="BIK36" s="67"/>
      <c r="BIL36" s="67"/>
      <c r="BIM36" s="67"/>
      <c r="BIN36" s="29"/>
      <c r="BIO36" s="136"/>
      <c r="BIP36" s="29"/>
      <c r="BIQ36" s="29"/>
      <c r="BIR36" s="29"/>
      <c r="BIS36" s="29"/>
      <c r="BIT36" s="29"/>
      <c r="BIU36" s="73"/>
      <c r="BIV36" s="29"/>
      <c r="BIW36" s="29"/>
      <c r="BIX36" s="29"/>
      <c r="BIY36" s="29"/>
      <c r="BIZ36" s="29"/>
      <c r="BJA36" s="136"/>
      <c r="BJB36" s="29"/>
      <c r="BJC36" s="29"/>
      <c r="BJD36" s="29"/>
      <c r="BJE36" s="29"/>
      <c r="BJF36" s="29"/>
      <c r="BJG36" s="73"/>
      <c r="BJH36" s="29"/>
      <c r="BJI36" s="29"/>
      <c r="BJJ36" s="29"/>
      <c r="BJK36" s="29"/>
      <c r="BJL36" s="29"/>
      <c r="BJM36" s="30"/>
      <c r="BJN36" s="28"/>
      <c r="BJO36" s="67"/>
      <c r="BJP36" s="67"/>
      <c r="BJQ36" s="67"/>
      <c r="BJR36" s="29"/>
      <c r="BJS36" s="131"/>
      <c r="BJT36" s="29"/>
      <c r="BJU36" s="29"/>
      <c r="BJV36" s="29"/>
      <c r="BJW36" s="29"/>
      <c r="BJX36" s="29"/>
      <c r="BJY36" s="136"/>
      <c r="BJZ36" s="29"/>
      <c r="BKA36" s="29"/>
      <c r="BKB36" s="29"/>
      <c r="BKC36" s="29"/>
      <c r="BKD36" s="29"/>
      <c r="BKE36" s="73"/>
      <c r="BKF36" s="29"/>
      <c r="BKG36" s="29"/>
      <c r="BKH36" s="29"/>
      <c r="BKI36" s="29"/>
      <c r="BKJ36" s="29"/>
      <c r="BKK36" s="136"/>
      <c r="BKL36" s="29"/>
      <c r="BKM36" s="29"/>
      <c r="BKN36" s="29"/>
      <c r="BKO36" s="29"/>
      <c r="BKP36" s="29"/>
      <c r="BKQ36" s="73"/>
      <c r="BKR36" s="67"/>
      <c r="BKS36" s="67"/>
      <c r="BKT36" s="67"/>
      <c r="BKU36" s="67"/>
      <c r="BKV36" s="29"/>
      <c r="BKW36" s="136"/>
      <c r="BKX36" s="29"/>
      <c r="BKY36" s="29"/>
      <c r="BKZ36" s="29"/>
      <c r="BLA36" s="29"/>
      <c r="BLB36" s="29"/>
      <c r="BLC36" s="73"/>
      <c r="BLD36" s="29"/>
      <c r="BLE36" s="29"/>
      <c r="BLF36" s="29"/>
      <c r="BLG36" s="29"/>
      <c r="BLH36" s="29"/>
      <c r="BLI36" s="136"/>
      <c r="BLJ36" s="29"/>
      <c r="BLK36" s="29"/>
      <c r="BLL36" s="29"/>
      <c r="BLM36" s="29"/>
      <c r="BLN36" s="29"/>
      <c r="BLO36" s="73"/>
      <c r="BLP36" s="29"/>
      <c r="BLQ36" s="29"/>
      <c r="BLR36" s="29"/>
      <c r="BLS36" s="29"/>
      <c r="BLT36" s="29"/>
      <c r="BLU36" s="30"/>
      <c r="BLV36" s="90"/>
    </row>
    <row r="37" spans="1:1686" ht="20.100000000000001" customHeight="1" x14ac:dyDescent="0.25">
      <c r="A37" s="100" t="s">
        <v>17</v>
      </c>
      <c r="B37" s="63" t="str">
        <f>IF(LEN(C59)=0,"",C59)</f>
        <v>Aide</v>
      </c>
      <c r="C37" s="205" t="s">
        <v>117</v>
      </c>
      <c r="D37" s="146" t="str">
        <f t="shared" si="0"/>
        <v>3h15min</v>
      </c>
      <c r="E37" s="31">
        <v>39</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33"/>
      <c r="LK37" s="74"/>
      <c r="LL37" s="33"/>
      <c r="LM37" s="33"/>
      <c r="LN37" s="33"/>
      <c r="LO37" s="33"/>
      <c r="LP37" s="33"/>
      <c r="LQ37" s="137"/>
      <c r="LR37" s="33"/>
      <c r="LS37" s="33"/>
      <c r="LT37" s="33"/>
      <c r="LU37" s="33"/>
      <c r="LV37" s="33"/>
      <c r="LW37" s="74"/>
      <c r="LX37" s="64"/>
      <c r="LY37" s="64"/>
      <c r="LZ37" s="64"/>
      <c r="MA37" s="64"/>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32"/>
      <c r="NC37" s="64"/>
      <c r="ND37" s="64"/>
      <c r="NE37" s="64"/>
      <c r="NF37" s="33"/>
      <c r="NG37" s="132"/>
      <c r="NH37" s="33"/>
      <c r="NI37" s="33"/>
      <c r="NJ37" s="33"/>
      <c r="NK37" s="33"/>
      <c r="NL37" s="33"/>
      <c r="NM37" s="137"/>
      <c r="NN37" s="33"/>
      <c r="NO37" s="33"/>
      <c r="NP37" s="33"/>
      <c r="NQ37" s="33"/>
      <c r="NR37" s="33"/>
      <c r="NS37" s="74"/>
      <c r="NT37" s="33"/>
      <c r="NU37" s="33"/>
      <c r="NV37" s="33"/>
      <c r="NW37" s="33"/>
      <c r="NX37" s="33"/>
      <c r="NY37" s="137"/>
      <c r="NZ37" s="33"/>
      <c r="OA37" s="33"/>
      <c r="OB37" s="33"/>
      <c r="OC37" s="33"/>
      <c r="OD37" s="33"/>
      <c r="OE37" s="74"/>
      <c r="OF37" s="64"/>
      <c r="OG37" s="64"/>
      <c r="OH37" s="64"/>
      <c r="OI37" s="64"/>
      <c r="OJ37" s="33"/>
      <c r="OK37" s="137"/>
      <c r="OL37" s="33"/>
      <c r="OM37" s="33"/>
      <c r="ON37" s="33"/>
      <c r="OO37" s="33"/>
      <c r="OP37" s="33"/>
      <c r="OQ37" s="74"/>
      <c r="OR37" s="33"/>
      <c r="OS37" s="33"/>
      <c r="OT37" s="33"/>
      <c r="OU37" s="33"/>
      <c r="OV37" s="33"/>
      <c r="OW37" s="137"/>
      <c r="OX37" s="33"/>
      <c r="OY37" s="33"/>
      <c r="OZ37" s="33"/>
      <c r="PA37" s="33"/>
      <c r="PB37" s="33"/>
      <c r="PC37" s="74"/>
      <c r="PD37" s="33"/>
      <c r="PE37" s="33"/>
      <c r="PF37" s="33"/>
      <c r="PG37" s="33"/>
      <c r="PH37" s="33"/>
      <c r="PI37" s="34"/>
      <c r="PJ37" s="32"/>
      <c r="PK37" s="64"/>
      <c r="PL37" s="64"/>
      <c r="PM37" s="64"/>
      <c r="PN37" s="33"/>
      <c r="PO37" s="132"/>
      <c r="PP37" s="33"/>
      <c r="PQ37" s="33"/>
      <c r="PR37" s="33"/>
      <c r="PS37" s="33"/>
      <c r="PT37" s="33"/>
      <c r="PU37" s="137"/>
      <c r="PV37" s="33"/>
      <c r="PW37" s="33"/>
      <c r="PX37" s="33"/>
      <c r="PY37" s="33"/>
      <c r="PZ37" s="33"/>
      <c r="QA37" s="74"/>
      <c r="QB37" s="33"/>
      <c r="QC37" s="33"/>
      <c r="QD37" s="33"/>
      <c r="QE37" s="33"/>
      <c r="QF37" s="33"/>
      <c r="QG37" s="137"/>
      <c r="QH37" s="33"/>
      <c r="QI37" s="33"/>
      <c r="QJ37" s="33"/>
      <c r="QK37" s="33"/>
      <c r="QL37" s="33"/>
      <c r="QM37" s="74"/>
      <c r="QN37" s="64"/>
      <c r="QO37" s="64"/>
      <c r="QP37" s="64"/>
      <c r="QQ37" s="64"/>
      <c r="QR37" s="33"/>
      <c r="QS37" s="137"/>
      <c r="QT37" s="33"/>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33"/>
      <c r="SS37" s="33"/>
      <c r="ST37" s="33"/>
      <c r="SU37" s="74"/>
      <c r="SV37" s="64"/>
      <c r="SW37" s="64"/>
      <c r="SX37" s="64"/>
      <c r="SY37" s="64"/>
      <c r="SZ37" s="33"/>
      <c r="TA37" s="137"/>
      <c r="TB37" s="33"/>
      <c r="TC37" s="33"/>
      <c r="TD37" s="33"/>
      <c r="TE37" s="33"/>
      <c r="TF37" s="33"/>
      <c r="TG37" s="74"/>
      <c r="TH37" s="33"/>
      <c r="TI37" s="33"/>
      <c r="TJ37" s="33"/>
      <c r="TK37" s="33"/>
      <c r="TL37" s="33"/>
      <c r="TM37" s="137"/>
      <c r="TN37" s="33"/>
      <c r="TO37" s="33"/>
      <c r="TP37" s="33"/>
      <c r="TQ37" s="33"/>
      <c r="TR37" s="33"/>
      <c r="TS37" s="74"/>
      <c r="TT37" s="33"/>
      <c r="TU37" s="33"/>
      <c r="TV37" s="33"/>
      <c r="TW37" s="33"/>
      <c r="TX37" s="33"/>
      <c r="TY37" s="34"/>
      <c r="TZ37" s="165"/>
      <c r="UA37" s="166"/>
      <c r="UB37" s="166"/>
      <c r="UC37" s="166"/>
      <c r="UD37" s="167"/>
      <c r="UE37" s="168"/>
      <c r="UF37" s="167"/>
      <c r="UG37" s="167"/>
      <c r="UH37" s="33"/>
      <c r="UI37" s="33"/>
      <c r="UJ37" s="33"/>
      <c r="UK37" s="137"/>
      <c r="UL37" s="33"/>
      <c r="UM37" s="33"/>
      <c r="UN37" s="33"/>
      <c r="UO37" s="33"/>
      <c r="UP37" s="33"/>
      <c r="UQ37" s="182"/>
      <c r="UR37" s="167"/>
      <c r="US37" s="167"/>
      <c r="UT37" s="167"/>
      <c r="UU37" s="167"/>
      <c r="UV37" s="167"/>
      <c r="UW37" s="181"/>
      <c r="UX37" s="167"/>
      <c r="UY37" s="167"/>
      <c r="UZ37" s="167"/>
      <c r="VA37" s="167"/>
      <c r="VB37" s="167"/>
      <c r="VC37" s="182"/>
      <c r="VD37" s="166"/>
      <c r="VE37" s="166"/>
      <c r="VF37" s="166"/>
      <c r="VG37" s="166"/>
      <c r="VH37" s="167"/>
      <c r="VI37" s="181"/>
      <c r="VJ37" s="167"/>
      <c r="VK37" s="167"/>
      <c r="VL37" s="33"/>
      <c r="VM37" s="33"/>
      <c r="VN37" s="33"/>
      <c r="VO37" s="74"/>
      <c r="VP37" s="33"/>
      <c r="VQ37" s="33"/>
      <c r="VR37" s="33"/>
      <c r="VS37" s="33"/>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167"/>
      <c r="ZI37" s="167"/>
      <c r="ZJ37" s="167"/>
      <c r="ZK37" s="167"/>
      <c r="ZL37" s="167"/>
      <c r="ZM37" s="181"/>
      <c r="ZN37" s="33"/>
      <c r="ZO37" s="33"/>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32"/>
      <c r="AAY37" s="64"/>
      <c r="AAZ37" s="64"/>
      <c r="ABA37" s="64"/>
      <c r="ABB37" s="33"/>
      <c r="ABC37" s="132"/>
      <c r="ABD37" s="33"/>
      <c r="ABE37" s="33"/>
      <c r="ABF37" s="33"/>
      <c r="ABG37" s="33"/>
      <c r="ABH37" s="33"/>
      <c r="ABI37" s="137"/>
      <c r="ABJ37" s="33"/>
      <c r="ABK37" s="33"/>
      <c r="ABL37" s="33"/>
      <c r="ABM37" s="33"/>
      <c r="ABN37" s="33"/>
      <c r="ABO37" s="74"/>
      <c r="ABP37" s="33"/>
      <c r="ABQ37" s="33"/>
      <c r="ABR37" s="33"/>
      <c r="ABS37" s="33"/>
      <c r="ABT37" s="33"/>
      <c r="ABU37" s="137"/>
      <c r="ABV37" s="167"/>
      <c r="ABW37" s="167"/>
      <c r="ABX37" s="167"/>
      <c r="ABY37" s="167"/>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32"/>
      <c r="AFO37" s="64"/>
      <c r="AFP37" s="64"/>
      <c r="AFQ37" s="64"/>
      <c r="AFR37" s="33"/>
      <c r="AFS37" s="132"/>
      <c r="AFT37" s="33"/>
      <c r="AFU37" s="33"/>
      <c r="AFV37" s="33"/>
      <c r="AFW37" s="33"/>
      <c r="AFX37" s="33"/>
      <c r="AFY37" s="137"/>
      <c r="AFZ37" s="33"/>
      <c r="AGA37" s="33"/>
      <c r="AGB37" s="33"/>
      <c r="AGC37" s="33"/>
      <c r="AGD37" s="33"/>
      <c r="AGE37" s="74"/>
      <c r="AGF37" s="33"/>
      <c r="AGG37" s="33"/>
      <c r="AGH37" s="33"/>
      <c r="AGI37" s="33"/>
      <c r="AGJ37" s="33"/>
      <c r="AGK37" s="137"/>
      <c r="AGL37" s="33"/>
      <c r="AGM37" s="33"/>
      <c r="AGN37" s="33"/>
      <c r="AGO37" s="33"/>
      <c r="AGP37" s="33"/>
      <c r="AGQ37" s="74"/>
      <c r="AGR37" s="64"/>
      <c r="AGS37" s="64"/>
      <c r="AGT37" s="64"/>
      <c r="AGU37" s="64"/>
      <c r="AGV37" s="33"/>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32"/>
      <c r="AHW37" s="64"/>
      <c r="AHX37" s="64"/>
      <c r="AHY37" s="64"/>
      <c r="AHZ37" s="33"/>
      <c r="AIA37" s="132"/>
      <c r="AIB37" s="33"/>
      <c r="AIC37" s="33"/>
      <c r="AID37" s="33"/>
      <c r="AIE37" s="33"/>
      <c r="AIF37" s="33"/>
      <c r="AIG37" s="137"/>
      <c r="AIH37" s="33"/>
      <c r="AII37" s="33"/>
      <c r="AIJ37" s="33"/>
      <c r="AIK37" s="33"/>
      <c r="AIL37" s="33"/>
      <c r="AIM37" s="74"/>
      <c r="AIN37" s="33"/>
      <c r="AIO37" s="33"/>
      <c r="AIP37" s="33"/>
      <c r="AIQ37" s="33"/>
      <c r="AIR37" s="33"/>
      <c r="AIS37" s="137"/>
      <c r="AIT37" s="33"/>
      <c r="AIU37" s="33"/>
      <c r="AIV37" s="33"/>
      <c r="AIW37" s="33"/>
      <c r="AIX37" s="33"/>
      <c r="AIY37" s="74"/>
      <c r="AIZ37" s="64"/>
      <c r="AJA37" s="64"/>
      <c r="AJB37" s="64"/>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32"/>
      <c r="AKE37" s="64"/>
      <c r="AKF37" s="64"/>
      <c r="AKG37" s="64"/>
      <c r="AKH37" s="33"/>
      <c r="AKI37" s="132"/>
      <c r="AKJ37" s="33"/>
      <c r="AKK37" s="33"/>
      <c r="AKL37" s="33"/>
      <c r="AKM37" s="33"/>
      <c r="AKN37" s="33"/>
      <c r="AKO37" s="137"/>
      <c r="AKP37" s="33"/>
      <c r="AKQ37" s="33"/>
      <c r="AKR37" s="33"/>
      <c r="AKS37" s="33"/>
      <c r="AKT37" s="33"/>
      <c r="AKU37" s="74"/>
      <c r="AKV37" s="33"/>
      <c r="AKW37" s="33"/>
      <c r="AKX37" s="33"/>
      <c r="AKY37" s="33"/>
      <c r="AKZ37" s="33"/>
      <c r="ALA37" s="137"/>
      <c r="ALB37" s="33"/>
      <c r="ALC37" s="33"/>
      <c r="ALD37" s="33"/>
      <c r="ALE37" s="33"/>
      <c r="ALF37" s="33"/>
      <c r="ALG37" s="74"/>
      <c r="ALH37" s="64"/>
      <c r="ALI37" s="64"/>
      <c r="ALJ37" s="64"/>
      <c r="ALK37" s="64"/>
      <c r="ALL37" s="33"/>
      <c r="ALM37" s="137"/>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32"/>
      <c r="AMM37" s="64"/>
      <c r="AMN37" s="64"/>
      <c r="AMO37" s="64"/>
      <c r="AMP37" s="33"/>
      <c r="AMQ37" s="132"/>
      <c r="AMR37" s="33"/>
      <c r="AMS37" s="33"/>
      <c r="AMT37" s="33"/>
      <c r="AMU37" s="33"/>
      <c r="AMV37" s="33"/>
      <c r="AMW37" s="137"/>
      <c r="AMX37" s="33"/>
      <c r="AMY37" s="33"/>
      <c r="AMZ37" s="33"/>
      <c r="ANA37" s="33"/>
      <c r="ANB37" s="33"/>
      <c r="ANC37" s="74"/>
      <c r="AND37" s="33"/>
      <c r="ANE37" s="33"/>
      <c r="ANF37" s="33"/>
      <c r="ANG37" s="33"/>
      <c r="ANH37" s="33"/>
      <c r="ANI37" s="137"/>
      <c r="ANJ37" s="33"/>
      <c r="ANK37" s="33"/>
      <c r="ANL37" s="33"/>
      <c r="ANM37" s="33"/>
      <c r="ANN37" s="33"/>
      <c r="ANO37" s="74"/>
      <c r="ANP37" s="64"/>
      <c r="ANQ37" s="64"/>
      <c r="ANR37" s="64"/>
      <c r="ANS37" s="64"/>
      <c r="ANT37" s="33"/>
      <c r="ANU37" s="137"/>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32"/>
      <c r="AOU37" s="64"/>
      <c r="AOV37" s="64"/>
      <c r="AOW37" s="64"/>
      <c r="AOX37" s="33"/>
      <c r="AOY37" s="132"/>
      <c r="AOZ37" s="33"/>
      <c r="APA37" s="33"/>
      <c r="APB37" s="33"/>
      <c r="APC37" s="33"/>
      <c r="APD37" s="33"/>
      <c r="APE37" s="137"/>
      <c r="APF37" s="33"/>
      <c r="APG37" s="33"/>
      <c r="APH37" s="33"/>
      <c r="API37" s="33"/>
      <c r="APJ37" s="33"/>
      <c r="APK37" s="74"/>
      <c r="APL37" s="33"/>
      <c r="APM37" s="33"/>
      <c r="APN37" s="33"/>
      <c r="APO37" s="33"/>
      <c r="APP37" s="33"/>
      <c r="APQ37" s="137"/>
      <c r="APR37" s="33"/>
      <c r="APS37" s="33"/>
      <c r="APT37" s="33"/>
      <c r="APU37" s="33"/>
      <c r="APV37" s="33"/>
      <c r="APW37" s="74"/>
      <c r="APX37" s="64"/>
      <c r="APY37" s="64"/>
      <c r="APZ37" s="64"/>
      <c r="AQA37" s="64"/>
      <c r="AQB37" s="33"/>
      <c r="AQC37" s="137"/>
      <c r="AQD37" s="33"/>
      <c r="AQE37" s="33"/>
      <c r="AQF37" s="33"/>
      <c r="AQG37" s="33"/>
      <c r="AQH37" s="33"/>
      <c r="AQI37" s="74"/>
      <c r="AQJ37" s="33"/>
      <c r="AQK37" s="33"/>
      <c r="AQL37" s="33"/>
      <c r="AQM37" s="33"/>
      <c r="AQN37" s="33"/>
      <c r="AQO37" s="137"/>
      <c r="AQP37" s="33"/>
      <c r="AQQ37" s="33"/>
      <c r="AQR37" s="33"/>
      <c r="AQS37" s="33"/>
      <c r="AQT37" s="33"/>
      <c r="AQU37" s="74"/>
      <c r="AQV37" s="33"/>
      <c r="AQW37" s="33"/>
      <c r="AQX37" s="33"/>
      <c r="AQY37" s="33"/>
      <c r="AQZ37" s="33"/>
      <c r="ARA37" s="34"/>
      <c r="ARB37" s="32"/>
      <c r="ARC37" s="64"/>
      <c r="ARD37" s="64"/>
      <c r="ARE37" s="64"/>
      <c r="ARF37" s="33"/>
      <c r="ARG37" s="132"/>
      <c r="ARH37" s="33"/>
      <c r="ARI37" s="33"/>
      <c r="ARJ37" s="33"/>
      <c r="ARK37" s="33"/>
      <c r="ARL37" s="33"/>
      <c r="ARM37" s="137"/>
      <c r="ARN37" s="33"/>
      <c r="ARO37" s="33"/>
      <c r="ARP37" s="33"/>
      <c r="ARQ37" s="33"/>
      <c r="ARR37" s="33"/>
      <c r="ARS37" s="74"/>
      <c r="ART37" s="33"/>
      <c r="ARU37" s="33"/>
      <c r="ARV37" s="33"/>
      <c r="ARW37" s="33"/>
      <c r="ARX37" s="33"/>
      <c r="ARY37" s="137"/>
      <c r="ARZ37" s="33"/>
      <c r="ASA37" s="33"/>
      <c r="ASB37" s="33"/>
      <c r="ASC37" s="33"/>
      <c r="ASD37" s="33"/>
      <c r="ASE37" s="74"/>
      <c r="ASF37" s="64"/>
      <c r="ASG37" s="64"/>
      <c r="ASH37" s="64"/>
      <c r="ASI37" s="64"/>
      <c r="ASJ37" s="33"/>
      <c r="ASK37" s="137"/>
      <c r="ASL37" s="33"/>
      <c r="ASM37" s="33"/>
      <c r="ASN37" s="33"/>
      <c r="ASO37" s="33"/>
      <c r="ASP37" s="33"/>
      <c r="ASQ37" s="74"/>
      <c r="ASR37" s="33"/>
      <c r="ASS37" s="33"/>
      <c r="AST37" s="33"/>
      <c r="ASU37" s="33"/>
      <c r="ASV37" s="33"/>
      <c r="ASW37" s="137"/>
      <c r="ASX37" s="33"/>
      <c r="ASY37" s="33"/>
      <c r="ASZ37" s="33"/>
      <c r="ATA37" s="33"/>
      <c r="ATB37" s="33"/>
      <c r="ATC37" s="74"/>
      <c r="ATD37" s="33"/>
      <c r="ATE37" s="33"/>
      <c r="ATF37" s="33"/>
      <c r="ATG37" s="33"/>
      <c r="ATH37" s="33"/>
      <c r="ATI37" s="34"/>
      <c r="ATJ37" s="32"/>
      <c r="ATK37" s="64"/>
      <c r="ATL37" s="64"/>
      <c r="ATM37" s="64"/>
      <c r="ATN37" s="33"/>
      <c r="ATO37" s="132"/>
      <c r="ATP37" s="33"/>
      <c r="ATQ37" s="33"/>
      <c r="ATR37" s="33"/>
      <c r="ATS37" s="33"/>
      <c r="ATT37" s="33"/>
      <c r="ATU37" s="137"/>
      <c r="ATV37" s="33"/>
      <c r="ATW37" s="33"/>
      <c r="ATX37" s="33"/>
      <c r="ATY37" s="33"/>
      <c r="ATZ37" s="33"/>
      <c r="AUA37" s="74"/>
      <c r="AUB37" s="33"/>
      <c r="AUC37" s="33"/>
      <c r="AUD37" s="33"/>
      <c r="AUE37" s="33"/>
      <c r="AUF37" s="33"/>
      <c r="AUG37" s="137"/>
      <c r="AUH37" s="33"/>
      <c r="AUI37" s="33"/>
      <c r="AUJ37" s="33"/>
      <c r="AUK37" s="33"/>
      <c r="AUL37" s="33"/>
      <c r="AUM37" s="74"/>
      <c r="AUN37" s="64"/>
      <c r="AUO37" s="64"/>
      <c r="AUP37" s="64"/>
      <c r="AUQ37" s="64"/>
      <c r="AUR37" s="33"/>
      <c r="AUS37" s="137"/>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32"/>
      <c r="AVS37" s="64"/>
      <c r="AVT37" s="64"/>
      <c r="AVU37" s="64"/>
      <c r="AVV37" s="33"/>
      <c r="AVW37" s="132"/>
      <c r="AVX37" s="33"/>
      <c r="AVY37" s="33"/>
      <c r="AVZ37" s="33"/>
      <c r="AWA37" s="33"/>
      <c r="AWB37" s="33"/>
      <c r="AWC37" s="137"/>
      <c r="AWD37" s="33"/>
      <c r="AWE37" s="33"/>
      <c r="AWF37" s="33"/>
      <c r="AWG37" s="33"/>
      <c r="AWH37" s="33"/>
      <c r="AWI37" s="74"/>
      <c r="AWJ37" s="33"/>
      <c r="AWK37" s="33"/>
      <c r="AWL37" s="33"/>
      <c r="AWM37" s="33"/>
      <c r="AWN37" s="33"/>
      <c r="AWO37" s="137"/>
      <c r="AWP37" s="33"/>
      <c r="AWQ37" s="33"/>
      <c r="AWR37" s="33"/>
      <c r="AWS37" s="33"/>
      <c r="AWT37" s="33"/>
      <c r="AWU37" s="74"/>
      <c r="AWV37" s="64"/>
      <c r="AWW37" s="64"/>
      <c r="AWX37" s="64"/>
      <c r="AWY37" s="64"/>
      <c r="AWZ37" s="33"/>
      <c r="AXA37" s="137"/>
      <c r="AXB37" s="33"/>
      <c r="AXC37" s="33"/>
      <c r="AXD37" s="33"/>
      <c r="AXE37" s="33"/>
      <c r="AXF37" s="33"/>
      <c r="AXG37" s="74"/>
      <c r="AXH37" s="33"/>
      <c r="AXI37" s="33"/>
      <c r="AXJ37" s="33"/>
      <c r="AXK37" s="33"/>
      <c r="AXL37" s="33"/>
      <c r="AXM37" s="137"/>
      <c r="AXN37" s="33"/>
      <c r="AXO37" s="33"/>
      <c r="AXP37" s="33"/>
      <c r="AXQ37" s="33"/>
      <c r="AXR37" s="33"/>
      <c r="AXS37" s="74"/>
      <c r="AXT37" s="33"/>
      <c r="AXU37" s="33"/>
      <c r="AXV37" s="33"/>
      <c r="AXW37" s="33"/>
      <c r="AXX37" s="33"/>
      <c r="AXY37" s="34"/>
      <c r="AXZ37" s="32"/>
      <c r="AYA37" s="64"/>
      <c r="AYB37" s="64"/>
      <c r="AYC37" s="64"/>
      <c r="AYD37" s="33"/>
      <c r="AYE37" s="132"/>
      <c r="AYF37" s="33"/>
      <c r="AYG37" s="33"/>
      <c r="AYH37" s="33"/>
      <c r="AYI37" s="33"/>
      <c r="AYJ37" s="33"/>
      <c r="AYK37" s="137"/>
      <c r="AYL37" s="33"/>
      <c r="AYM37" s="33"/>
      <c r="AYN37" s="33"/>
      <c r="AYO37" s="33"/>
      <c r="AYP37" s="33"/>
      <c r="AYQ37" s="74"/>
      <c r="AYR37" s="33"/>
      <c r="AYS37" s="33"/>
      <c r="AYT37" s="33"/>
      <c r="AYU37" s="33"/>
      <c r="AYV37" s="33"/>
      <c r="AYW37" s="137"/>
      <c r="AYX37" s="33"/>
      <c r="AYY37" s="33"/>
      <c r="AYZ37" s="33"/>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37"/>
      <c r="BGH37" s="33"/>
      <c r="BGI37" s="33"/>
      <c r="BGJ37" s="33"/>
      <c r="BGK37" s="33"/>
      <c r="BGL37" s="33"/>
      <c r="BGM37" s="74"/>
      <c r="BGN37" s="33"/>
      <c r="BGO37" s="33"/>
      <c r="BGP37" s="33"/>
      <c r="BGQ37" s="33"/>
      <c r="BGR37" s="33"/>
      <c r="BGS37" s="137"/>
      <c r="BGT37" s="33"/>
      <c r="BGU37" s="33"/>
      <c r="BGV37" s="33"/>
      <c r="BGW37" s="33"/>
      <c r="BGX37" s="33"/>
      <c r="BGY37" s="74"/>
      <c r="BGZ37" s="33"/>
      <c r="BHA37" s="33"/>
      <c r="BHB37" s="33"/>
      <c r="BHC37" s="33"/>
      <c r="BHD37" s="33"/>
      <c r="BHE37" s="34"/>
      <c r="BHF37" s="32"/>
      <c r="BHG37" s="64"/>
      <c r="BHH37" s="64"/>
      <c r="BHI37" s="64"/>
      <c r="BHJ37" s="33"/>
      <c r="BHK37" s="132"/>
      <c r="BHL37" s="33"/>
      <c r="BHM37" s="33"/>
      <c r="BHN37" s="33"/>
      <c r="BHO37" s="33"/>
      <c r="BHP37" s="33"/>
      <c r="BHQ37" s="137"/>
      <c r="BHR37" s="33"/>
      <c r="BHS37" s="33"/>
      <c r="BHT37" s="33"/>
      <c r="BHU37" s="33"/>
      <c r="BHV37" s="33"/>
      <c r="BHW37" s="74"/>
      <c r="BHX37" s="33"/>
      <c r="BHY37" s="33"/>
      <c r="BHZ37" s="33"/>
      <c r="BIA37" s="33"/>
      <c r="BIB37" s="33"/>
      <c r="BIC37" s="137"/>
      <c r="BID37" s="33"/>
      <c r="BIE37" s="33"/>
      <c r="BIF37" s="33"/>
      <c r="BIG37" s="33"/>
      <c r="BIH37" s="33"/>
      <c r="BII37" s="74"/>
      <c r="BIJ37" s="64"/>
      <c r="BIK37" s="64"/>
      <c r="BIL37" s="64"/>
      <c r="BIM37" s="64"/>
      <c r="BIN37" s="33"/>
      <c r="BIO37" s="137"/>
      <c r="BIP37" s="33"/>
      <c r="BIQ37" s="33"/>
      <c r="BIR37" s="33"/>
      <c r="BIS37" s="33"/>
      <c r="BIT37" s="33"/>
      <c r="BIU37" s="74"/>
      <c r="BIV37" s="33"/>
      <c r="BIW37" s="33"/>
      <c r="BIX37" s="33"/>
      <c r="BIY37" s="33"/>
      <c r="BIZ37" s="33"/>
      <c r="BJA37" s="137"/>
      <c r="BJB37" s="33"/>
      <c r="BJC37" s="33"/>
      <c r="BJD37" s="33"/>
      <c r="BJE37" s="33"/>
      <c r="BJF37" s="33"/>
      <c r="BJG37" s="74"/>
      <c r="BJH37" s="33"/>
      <c r="BJI37" s="33"/>
      <c r="BJJ37" s="33"/>
      <c r="BJK37" s="33"/>
      <c r="BJL37" s="33"/>
      <c r="BJM37" s="34"/>
      <c r="BJN37" s="32"/>
      <c r="BJO37" s="64"/>
      <c r="BJP37" s="64"/>
      <c r="BJQ37" s="64"/>
      <c r="BJR37" s="33"/>
      <c r="BJS37" s="132"/>
      <c r="BJT37" s="33"/>
      <c r="BJU37" s="33"/>
      <c r="BJV37" s="33"/>
      <c r="BJW37" s="33"/>
      <c r="BJX37" s="33"/>
      <c r="BJY37" s="137"/>
      <c r="BJZ37" s="33"/>
      <c r="BKA37" s="33"/>
      <c r="BKB37" s="33"/>
      <c r="BKC37" s="33"/>
      <c r="BKD37" s="33"/>
      <c r="BKE37" s="74"/>
      <c r="BKF37" s="33"/>
      <c r="BKG37" s="33"/>
      <c r="BKH37" s="33"/>
      <c r="BKI37" s="33"/>
      <c r="BKJ37" s="33"/>
      <c r="BKK37" s="137"/>
      <c r="BKL37" s="33"/>
      <c r="BKM37" s="33"/>
      <c r="BKN37" s="33"/>
      <c r="BKO37" s="33"/>
      <c r="BKP37" s="33"/>
      <c r="BKQ37" s="74"/>
      <c r="BKR37" s="64"/>
      <c r="BKS37" s="64"/>
      <c r="BKT37" s="64"/>
      <c r="BKU37" s="64"/>
      <c r="BKV37" s="33"/>
      <c r="BKW37" s="137"/>
      <c r="BKX37" s="33"/>
      <c r="BKY37" s="33"/>
      <c r="BKZ37" s="33"/>
      <c r="BLA37" s="33"/>
      <c r="BLB37" s="33"/>
      <c r="BLC37" s="74"/>
      <c r="BLD37" s="33"/>
      <c r="BLE37" s="33"/>
      <c r="BLF37" s="33"/>
      <c r="BLG37" s="33"/>
      <c r="BLH37" s="33"/>
      <c r="BLI37" s="137"/>
      <c r="BLJ37" s="33"/>
      <c r="BLK37" s="33"/>
      <c r="BLL37" s="33"/>
      <c r="BLM37" s="33"/>
      <c r="BLN37" s="33"/>
      <c r="BLO37" s="74"/>
      <c r="BLP37" s="33"/>
      <c r="BLQ37" s="33"/>
      <c r="BLR37" s="33"/>
      <c r="BLS37" s="33"/>
      <c r="BLT37" s="33"/>
      <c r="BLU37" s="34"/>
      <c r="BLV37" s="90"/>
    </row>
    <row r="38" spans="1:1686" ht="20.100000000000001" customHeight="1" x14ac:dyDescent="0.3">
      <c r="A38" s="100" t="s">
        <v>18</v>
      </c>
      <c r="B38" s="63" t="str">
        <f>IF(LEN(C61)=0,"",C61)</f>
        <v/>
      </c>
      <c r="C38" s="207"/>
      <c r="D38" s="148" t="str">
        <f t="shared" si="0"/>
        <v>0h</v>
      </c>
      <c r="E38" s="35">
        <v>0</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37"/>
      <c r="NU38" s="37"/>
      <c r="NV38" s="37"/>
      <c r="NW38" s="37"/>
      <c r="NX38" s="37"/>
      <c r="NY38" s="138"/>
      <c r="NZ38" s="37"/>
      <c r="OA38" s="37"/>
      <c r="OB38" s="37"/>
      <c r="OC38" s="37"/>
      <c r="OD38" s="37"/>
      <c r="OE38" s="75"/>
      <c r="OF38" s="65"/>
      <c r="OG38" s="65"/>
      <c r="OH38" s="65"/>
      <c r="OI38" s="65"/>
      <c r="OJ38" s="37"/>
      <c r="OK38" s="138"/>
      <c r="OL38" s="37"/>
      <c r="OM38" s="37"/>
      <c r="ON38" s="37"/>
      <c r="OO38" s="37"/>
      <c r="OP38" s="37"/>
      <c r="OQ38" s="75"/>
      <c r="OR38" s="37"/>
      <c r="OS38" s="37"/>
      <c r="OT38" s="37"/>
      <c r="OU38" s="37"/>
      <c r="OV38" s="37"/>
      <c r="OW38" s="138"/>
      <c r="OX38" s="37"/>
      <c r="OY38" s="37"/>
      <c r="OZ38" s="37"/>
      <c r="PA38" s="37"/>
      <c r="PB38" s="37"/>
      <c r="PC38" s="75"/>
      <c r="PD38" s="37"/>
      <c r="PE38" s="37"/>
      <c r="PF38" s="37"/>
      <c r="PG38" s="37"/>
      <c r="PH38" s="37"/>
      <c r="PI38" s="38"/>
      <c r="PJ38" s="36"/>
      <c r="PK38" s="65"/>
      <c r="PL38" s="65"/>
      <c r="PM38" s="65"/>
      <c r="PN38" s="37"/>
      <c r="PO38" s="133"/>
      <c r="PP38" s="37"/>
      <c r="PQ38" s="37"/>
      <c r="PR38" s="37"/>
      <c r="PS38" s="37"/>
      <c r="PT38" s="37"/>
      <c r="PU38" s="138"/>
      <c r="PV38" s="37"/>
      <c r="PW38" s="37"/>
      <c r="PX38" s="37"/>
      <c r="PY38" s="37"/>
      <c r="PZ38" s="37"/>
      <c r="QA38" s="75"/>
      <c r="QB38" s="37"/>
      <c r="QC38" s="37"/>
      <c r="QD38" s="37"/>
      <c r="QE38" s="37"/>
      <c r="QF38" s="37"/>
      <c r="QG38" s="138"/>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36"/>
      <c r="RS38" s="65"/>
      <c r="RT38" s="65"/>
      <c r="RU38" s="65"/>
      <c r="RV38" s="37"/>
      <c r="RW38" s="133"/>
      <c r="RX38" s="37"/>
      <c r="RY38" s="37"/>
      <c r="RZ38" s="37"/>
      <c r="SA38" s="37"/>
      <c r="SB38" s="37"/>
      <c r="SC38" s="138"/>
      <c r="SD38" s="37"/>
      <c r="SE38" s="37"/>
      <c r="SF38" s="37"/>
      <c r="SG38" s="37"/>
      <c r="SH38" s="37"/>
      <c r="SI38" s="75"/>
      <c r="SJ38" s="37"/>
      <c r="SK38" s="37"/>
      <c r="SL38" s="37"/>
      <c r="SM38" s="37"/>
      <c r="SN38" s="37"/>
      <c r="SO38" s="138"/>
      <c r="SP38" s="37"/>
      <c r="SQ38" s="37"/>
      <c r="SR38" s="37"/>
      <c r="SS38" s="37"/>
      <c r="ST38" s="37"/>
      <c r="SU38" s="75"/>
      <c r="SV38" s="65"/>
      <c r="SW38" s="65"/>
      <c r="SX38" s="65"/>
      <c r="SY38" s="65"/>
      <c r="SZ38" s="37"/>
      <c r="TA38" s="138"/>
      <c r="TB38" s="37"/>
      <c r="TC38" s="37"/>
      <c r="TD38" s="37"/>
      <c r="TE38" s="37"/>
      <c r="TF38" s="37"/>
      <c r="TG38" s="75"/>
      <c r="TH38" s="37"/>
      <c r="TI38" s="37"/>
      <c r="TJ38" s="37"/>
      <c r="TK38" s="37"/>
      <c r="TL38" s="37"/>
      <c r="TM38" s="138"/>
      <c r="TN38" s="37"/>
      <c r="TO38" s="37"/>
      <c r="TP38" s="37"/>
      <c r="TQ38" s="37"/>
      <c r="TR38" s="37"/>
      <c r="TS38" s="75"/>
      <c r="TT38" s="37"/>
      <c r="TU38" s="37"/>
      <c r="TV38" s="37"/>
      <c r="TW38" s="37"/>
      <c r="TX38" s="37"/>
      <c r="TY38" s="38"/>
      <c r="TZ38" s="36"/>
      <c r="UA38" s="65"/>
      <c r="UB38" s="65"/>
      <c r="UC38" s="65"/>
      <c r="UD38" s="37"/>
      <c r="UE38" s="133"/>
      <c r="UF38" s="37"/>
      <c r="UG38" s="37"/>
      <c r="UH38" s="37"/>
      <c r="UI38" s="37"/>
      <c r="UJ38" s="37"/>
      <c r="UK38" s="138"/>
      <c r="UL38" s="37"/>
      <c r="UM38" s="37"/>
      <c r="UN38" s="37"/>
      <c r="UO38" s="37"/>
      <c r="UP38" s="37"/>
      <c r="UQ38" s="75"/>
      <c r="UR38" s="37"/>
      <c r="US38" s="37"/>
      <c r="UT38" s="37"/>
      <c r="UU38" s="37"/>
      <c r="UV38" s="37"/>
      <c r="UW38" s="138"/>
      <c r="UX38" s="37"/>
      <c r="UY38" s="37"/>
      <c r="UZ38" s="37"/>
      <c r="VA38" s="37"/>
      <c r="VB38" s="37"/>
      <c r="VC38" s="75"/>
      <c r="VD38" s="65"/>
      <c r="VE38" s="65"/>
      <c r="VF38" s="65"/>
      <c r="VG38" s="65"/>
      <c r="VH38" s="37"/>
      <c r="VI38" s="138"/>
      <c r="VJ38" s="37"/>
      <c r="VK38" s="37"/>
      <c r="VL38" s="37"/>
      <c r="VM38" s="37"/>
      <c r="VN38" s="37"/>
      <c r="VO38" s="75"/>
      <c r="VP38" s="37"/>
      <c r="VQ38" s="37"/>
      <c r="VR38" s="37"/>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37"/>
      <c r="WU38" s="37"/>
      <c r="WV38" s="37"/>
      <c r="WW38" s="37"/>
      <c r="WX38" s="37"/>
      <c r="WY38" s="75"/>
      <c r="WZ38" s="37"/>
      <c r="XA38" s="37"/>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37"/>
      <c r="AFS38" s="133"/>
      <c r="AFT38" s="37"/>
      <c r="AFU38" s="37"/>
      <c r="AFV38" s="37"/>
      <c r="AFW38" s="37"/>
      <c r="AFX38" s="37"/>
      <c r="AFY38" s="138"/>
      <c r="AFZ38" s="37"/>
      <c r="AGA38" s="37"/>
      <c r="AGB38" s="37"/>
      <c r="AGC38" s="37"/>
      <c r="AGD38" s="37"/>
      <c r="AGE38" s="75"/>
      <c r="AGF38" s="37"/>
      <c r="AGG38" s="37"/>
      <c r="AGH38" s="37"/>
      <c r="AGI38" s="37"/>
      <c r="AGJ38" s="37"/>
      <c r="AGK38" s="138"/>
      <c r="AGL38" s="37"/>
      <c r="AGM38" s="37"/>
      <c r="AGN38" s="37"/>
      <c r="AGO38" s="37"/>
      <c r="AGP38" s="37"/>
      <c r="AGQ38" s="75"/>
      <c r="AGR38" s="65"/>
      <c r="AGS38" s="65"/>
      <c r="AGT38" s="65"/>
      <c r="AGU38" s="65"/>
      <c r="AGV38" s="37"/>
      <c r="AGW38" s="138"/>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36"/>
      <c r="AHW38" s="65"/>
      <c r="AHX38" s="65"/>
      <c r="AHY38" s="65"/>
      <c r="AHZ38" s="37"/>
      <c r="AIA38" s="133"/>
      <c r="AIB38" s="37"/>
      <c r="AIC38" s="37"/>
      <c r="AID38" s="37"/>
      <c r="AIE38" s="37"/>
      <c r="AIF38" s="37"/>
      <c r="AIG38" s="138"/>
      <c r="AIH38" s="37"/>
      <c r="AII38" s="37"/>
      <c r="AIJ38" s="37"/>
      <c r="AIK38" s="37"/>
      <c r="AIL38" s="37"/>
      <c r="AIM38" s="75"/>
      <c r="AIN38" s="37"/>
      <c r="AIO38" s="37"/>
      <c r="AIP38" s="37"/>
      <c r="AIQ38" s="37"/>
      <c r="AIR38" s="37"/>
      <c r="AIS38" s="138"/>
      <c r="AIT38" s="37"/>
      <c r="AIU38" s="37"/>
      <c r="AIV38" s="37"/>
      <c r="AIW38" s="37"/>
      <c r="AIX38" s="37"/>
      <c r="AIY38" s="75"/>
      <c r="AIZ38" s="65"/>
      <c r="AJA38" s="65"/>
      <c r="AJB38" s="65"/>
      <c r="AJC38" s="65"/>
      <c r="AJD38" s="37"/>
      <c r="AJE38" s="138"/>
      <c r="AJF38" s="37"/>
      <c r="AJG38" s="37"/>
      <c r="AJH38" s="37"/>
      <c r="AJI38" s="37"/>
      <c r="AJJ38" s="37"/>
      <c r="AJK38" s="75"/>
      <c r="AJL38" s="37"/>
      <c r="AJM38" s="37"/>
      <c r="AJN38" s="37"/>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37"/>
      <c r="AKN38" s="37"/>
      <c r="AKO38" s="138"/>
      <c r="AKP38" s="37"/>
      <c r="AKQ38" s="37"/>
      <c r="AKR38" s="37"/>
      <c r="AKS38" s="37"/>
      <c r="AKT38" s="37"/>
      <c r="AKU38" s="75"/>
      <c r="AKV38" s="37"/>
      <c r="AKW38" s="37"/>
      <c r="AKX38" s="37"/>
      <c r="AKY38" s="37"/>
      <c r="AKZ38" s="37"/>
      <c r="ALA38" s="138"/>
      <c r="ALB38" s="37"/>
      <c r="ALC38" s="37"/>
      <c r="ALD38" s="37"/>
      <c r="ALE38" s="37"/>
      <c r="ALF38" s="37"/>
      <c r="ALG38" s="75"/>
      <c r="ALH38" s="65"/>
      <c r="ALI38" s="65"/>
      <c r="ALJ38" s="65"/>
      <c r="ALK38" s="65"/>
      <c r="ALL38" s="37"/>
      <c r="ALM38" s="138"/>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36"/>
      <c r="AMM38" s="65"/>
      <c r="AMN38" s="65"/>
      <c r="AMO38" s="65"/>
      <c r="AMP38" s="37"/>
      <c r="AMQ38" s="133"/>
      <c r="AMR38" s="37"/>
      <c r="AMS38" s="37"/>
      <c r="AMT38" s="37"/>
      <c r="AMU38" s="37"/>
      <c r="AMV38" s="37"/>
      <c r="AMW38" s="138"/>
      <c r="AMX38" s="37"/>
      <c r="AMY38" s="37"/>
      <c r="AMZ38" s="37"/>
      <c r="ANA38" s="37"/>
      <c r="ANB38" s="37"/>
      <c r="ANC38" s="75"/>
      <c r="AND38" s="37"/>
      <c r="ANE38" s="37"/>
      <c r="ANF38" s="37"/>
      <c r="ANG38" s="37"/>
      <c r="ANH38" s="37"/>
      <c r="ANI38" s="138"/>
      <c r="ANJ38" s="37"/>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36"/>
      <c r="ARC38" s="65"/>
      <c r="ARD38" s="65"/>
      <c r="ARE38" s="65"/>
      <c r="ARF38" s="37"/>
      <c r="ARG38" s="133"/>
      <c r="ARH38" s="37"/>
      <c r="ARI38" s="37"/>
      <c r="ARJ38" s="37"/>
      <c r="ARK38" s="37"/>
      <c r="ARL38" s="37"/>
      <c r="ARM38" s="138"/>
      <c r="ARN38" s="37"/>
      <c r="ARO38" s="37"/>
      <c r="ARP38" s="37"/>
      <c r="ARQ38" s="37"/>
      <c r="ARR38" s="37"/>
      <c r="ARS38" s="75"/>
      <c r="ART38" s="37"/>
      <c r="ARU38" s="37"/>
      <c r="ARV38" s="37"/>
      <c r="ARW38" s="37"/>
      <c r="ARX38" s="37"/>
      <c r="ARY38" s="138"/>
      <c r="ARZ38" s="37"/>
      <c r="ASA38" s="37"/>
      <c r="ASB38" s="37"/>
      <c r="ASC38" s="37"/>
      <c r="ASD38" s="37"/>
      <c r="ASE38" s="75"/>
      <c r="ASF38" s="65"/>
      <c r="ASG38" s="65"/>
      <c r="ASH38" s="65"/>
      <c r="ASI38" s="65"/>
      <c r="ASJ38" s="37"/>
      <c r="ASK38" s="138"/>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36"/>
      <c r="ATK38" s="65"/>
      <c r="ATL38" s="65"/>
      <c r="ATM38" s="65"/>
      <c r="ATN38" s="37"/>
      <c r="ATO38" s="133"/>
      <c r="ATP38" s="37"/>
      <c r="ATQ38" s="37"/>
      <c r="ATR38" s="37"/>
      <c r="ATS38" s="37"/>
      <c r="ATT38" s="37"/>
      <c r="ATU38" s="138"/>
      <c r="ATV38" s="37"/>
      <c r="ATW38" s="37"/>
      <c r="ATX38" s="37"/>
      <c r="ATY38" s="37"/>
      <c r="ATZ38" s="37"/>
      <c r="AUA38" s="75"/>
      <c r="AUB38" s="37"/>
      <c r="AUC38" s="37"/>
      <c r="AUD38" s="37"/>
      <c r="AUE38" s="37"/>
      <c r="AUF38" s="37"/>
      <c r="AUG38" s="138"/>
      <c r="AUH38" s="37"/>
      <c r="AUI38" s="37"/>
      <c r="AUJ38" s="37"/>
      <c r="AUK38" s="37"/>
      <c r="AUL38" s="37"/>
      <c r="AUM38" s="75"/>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36"/>
      <c r="BHG38" s="65"/>
      <c r="BHH38" s="65"/>
      <c r="BHI38" s="65"/>
      <c r="BHJ38" s="37"/>
      <c r="BHK38" s="133"/>
      <c r="BHL38" s="37"/>
      <c r="BHM38" s="37"/>
      <c r="BHN38" s="37"/>
      <c r="BHO38" s="37"/>
      <c r="BHP38" s="37"/>
      <c r="BHQ38" s="138"/>
      <c r="BHR38" s="37"/>
      <c r="BHS38" s="37"/>
      <c r="BHT38" s="37"/>
      <c r="BHU38" s="37"/>
      <c r="BHV38" s="37"/>
      <c r="BHW38" s="75"/>
      <c r="BHX38" s="37"/>
      <c r="BHY38" s="37"/>
      <c r="BHZ38" s="37"/>
      <c r="BIA38" s="37"/>
      <c r="BIB38" s="37"/>
      <c r="BIC38" s="138"/>
      <c r="BID38" s="37"/>
      <c r="BIE38" s="37"/>
      <c r="BIF38" s="37"/>
      <c r="BIG38" s="37"/>
      <c r="BIH38" s="37"/>
      <c r="BII38" s="75"/>
      <c r="BIJ38" s="65"/>
      <c r="BIK38" s="65"/>
      <c r="BIL38" s="65"/>
      <c r="BIM38" s="65"/>
      <c r="BIN38" s="37"/>
      <c r="BIO38" s="138"/>
      <c r="BIP38" s="37"/>
      <c r="BIQ38" s="37"/>
      <c r="BIR38" s="37"/>
      <c r="BIS38" s="37"/>
      <c r="BIT38" s="37"/>
      <c r="BIU38" s="75"/>
      <c r="BIV38" s="37"/>
      <c r="BIW38" s="37"/>
      <c r="BIX38" s="37"/>
      <c r="BIY38" s="37"/>
      <c r="BIZ38" s="37"/>
      <c r="BJA38" s="138"/>
      <c r="BJB38" s="37"/>
      <c r="BJC38" s="37"/>
      <c r="BJD38" s="37"/>
      <c r="BJE38" s="37"/>
      <c r="BJF38" s="37"/>
      <c r="BJG38" s="75"/>
      <c r="BJH38" s="37"/>
      <c r="BJI38" s="37"/>
      <c r="BJJ38" s="37"/>
      <c r="BJK38" s="37"/>
      <c r="BJL38" s="37"/>
      <c r="BJM38" s="38"/>
      <c r="BJN38" s="36"/>
      <c r="BJO38" s="65"/>
      <c r="BJP38" s="65"/>
      <c r="BJQ38" s="65"/>
      <c r="BJR38" s="37"/>
      <c r="BJS38" s="133"/>
      <c r="BJT38" s="37"/>
      <c r="BJU38" s="37"/>
      <c r="BJV38" s="37"/>
      <c r="BJW38" s="37"/>
      <c r="BJX38" s="37"/>
      <c r="BJY38" s="138"/>
      <c r="BJZ38" s="37"/>
      <c r="BKA38" s="37"/>
      <c r="BKB38" s="37"/>
      <c r="BKC38" s="37"/>
      <c r="BKD38" s="37"/>
      <c r="BKE38" s="75"/>
      <c r="BKF38" s="37"/>
      <c r="BKG38" s="37"/>
      <c r="BKH38" s="37"/>
      <c r="BKI38" s="37"/>
      <c r="BKJ38" s="37"/>
      <c r="BKK38" s="138"/>
      <c r="BKL38" s="37"/>
      <c r="BKM38" s="37"/>
      <c r="BKN38" s="37"/>
      <c r="BKO38" s="37"/>
      <c r="BKP38" s="37"/>
      <c r="BKQ38" s="75"/>
      <c r="BKR38" s="65"/>
      <c r="BKS38" s="65"/>
      <c r="BKT38" s="65"/>
      <c r="BKU38" s="65"/>
      <c r="BKV38" s="37"/>
      <c r="BKW38" s="138"/>
      <c r="BKX38" s="37"/>
      <c r="BKY38" s="37"/>
      <c r="BKZ38" s="37"/>
      <c r="BLA38" s="37"/>
      <c r="BLB38" s="37"/>
      <c r="BLC38" s="75"/>
      <c r="BLD38" s="37"/>
      <c r="BLE38" s="37"/>
      <c r="BLF38" s="37"/>
      <c r="BLG38" s="37"/>
      <c r="BLH38" s="37"/>
      <c r="BLI38" s="138"/>
      <c r="BLJ38" s="37"/>
      <c r="BLK38" s="37"/>
      <c r="BLL38" s="37"/>
      <c r="BLM38" s="37"/>
      <c r="BLN38" s="37"/>
      <c r="BLO38" s="75"/>
      <c r="BLP38" s="37"/>
      <c r="BLQ38" s="37"/>
      <c r="BLR38" s="37"/>
      <c r="BLS38" s="37"/>
      <c r="BLT38" s="37"/>
      <c r="BLU38" s="38"/>
      <c r="BLV38" s="90"/>
    </row>
    <row r="39" spans="1:1686" ht="20.100000000000001" customHeight="1" x14ac:dyDescent="0.25">
      <c r="A39" s="100" t="s">
        <v>17</v>
      </c>
      <c r="B39" s="63" t="str">
        <f>IF(LEN(C63)=0,"",C63)</f>
        <v/>
      </c>
      <c r="C39" s="205" t="s">
        <v>124</v>
      </c>
      <c r="D39" s="146" t="str">
        <f t="shared" si="0"/>
        <v>1h55min</v>
      </c>
      <c r="E39" s="39">
        <v>23</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40"/>
      <c r="RS39" s="66"/>
      <c r="RT39" s="66"/>
      <c r="RU39" s="66"/>
      <c r="RV39" s="41"/>
      <c r="RW39" s="134"/>
      <c r="RX39" s="41"/>
      <c r="RY39" s="41"/>
      <c r="RZ39" s="41"/>
      <c r="SA39" s="41"/>
      <c r="SB39" s="41"/>
      <c r="SC39" s="139"/>
      <c r="SD39" s="41"/>
      <c r="SE39" s="41"/>
      <c r="SF39" s="41"/>
      <c r="SG39" s="41"/>
      <c r="SH39" s="41"/>
      <c r="SI39" s="76"/>
      <c r="SJ39" s="41"/>
      <c r="SK39" s="41"/>
      <c r="SL39" s="41"/>
      <c r="SM39" s="41"/>
      <c r="SN39" s="41"/>
      <c r="SO39" s="139"/>
      <c r="SP39" s="41"/>
      <c r="SQ39" s="41"/>
      <c r="SR39" s="41"/>
      <c r="SS39" s="41"/>
      <c r="ST39" s="41"/>
      <c r="SU39" s="76"/>
      <c r="SV39" s="66"/>
      <c r="SW39" s="66"/>
      <c r="SX39" s="66"/>
      <c r="SY39" s="66"/>
      <c r="SZ39" s="41"/>
      <c r="TA39" s="139"/>
      <c r="TB39" s="41"/>
      <c r="TC39" s="41"/>
      <c r="TD39" s="41"/>
      <c r="TE39" s="41"/>
      <c r="TF39" s="41"/>
      <c r="TG39" s="76"/>
      <c r="TH39" s="41"/>
      <c r="TI39" s="41"/>
      <c r="TJ39" s="41"/>
      <c r="TK39" s="41"/>
      <c r="TL39" s="41"/>
      <c r="TM39" s="139"/>
      <c r="TN39" s="41"/>
      <c r="TO39" s="41"/>
      <c r="TP39" s="41"/>
      <c r="TQ39" s="41"/>
      <c r="TR39" s="41"/>
      <c r="TS39" s="76"/>
      <c r="TT39" s="41"/>
      <c r="TU39" s="41"/>
      <c r="TV39" s="41"/>
      <c r="TW39" s="41"/>
      <c r="TX39" s="41"/>
      <c r="TY39" s="42"/>
      <c r="TZ39" s="40"/>
      <c r="UA39" s="66"/>
      <c r="UB39" s="66"/>
      <c r="UC39" s="66"/>
      <c r="UD39" s="41"/>
      <c r="UE39" s="134"/>
      <c r="UF39" s="41"/>
      <c r="UG39" s="41"/>
      <c r="UH39" s="41"/>
      <c r="UI39" s="41"/>
      <c r="UJ39" s="41"/>
      <c r="UK39" s="139"/>
      <c r="UL39" s="41"/>
      <c r="UM39" s="41"/>
      <c r="UN39" s="41"/>
      <c r="UO39" s="41"/>
      <c r="UP39" s="41"/>
      <c r="UQ39" s="76"/>
      <c r="UR39" s="41"/>
      <c r="US39" s="41"/>
      <c r="UT39" s="41"/>
      <c r="UU39" s="41"/>
      <c r="UV39" s="41"/>
      <c r="UW39" s="139"/>
      <c r="UX39" s="41"/>
      <c r="UY39" s="41"/>
      <c r="UZ39" s="41"/>
      <c r="VA39" s="41"/>
      <c r="VB39" s="41"/>
      <c r="VC39" s="76"/>
      <c r="VD39" s="66"/>
      <c r="VE39" s="66"/>
      <c r="VF39" s="66"/>
      <c r="VG39" s="66"/>
      <c r="VH39" s="41"/>
      <c r="VI39" s="139"/>
      <c r="VJ39" s="41"/>
      <c r="VK39" s="41"/>
      <c r="VL39" s="41"/>
      <c r="VM39" s="41"/>
      <c r="VN39" s="41"/>
      <c r="VO39" s="76"/>
      <c r="VP39" s="41"/>
      <c r="VQ39" s="41"/>
      <c r="VR39" s="41"/>
      <c r="VS39" s="41"/>
      <c r="VT39" s="41"/>
      <c r="VU39" s="139"/>
      <c r="VV39" s="41"/>
      <c r="VW39" s="41"/>
      <c r="VX39" s="41"/>
      <c r="VY39" s="41"/>
      <c r="VZ39" s="41"/>
      <c r="WA39" s="76"/>
      <c r="WB39" s="41"/>
      <c r="WC39" s="41"/>
      <c r="WD39" s="41"/>
      <c r="WE39" s="41"/>
      <c r="WF39" s="41"/>
      <c r="WG39" s="42"/>
      <c r="WH39" s="40"/>
      <c r="WI39" s="66"/>
      <c r="WJ39" s="66"/>
      <c r="WK39" s="66"/>
      <c r="WL39" s="41"/>
      <c r="WM39" s="134"/>
      <c r="WN39" s="41"/>
      <c r="WO39" s="41"/>
      <c r="WP39" s="41"/>
      <c r="WQ39" s="41"/>
      <c r="WR39" s="41"/>
      <c r="WS39" s="139"/>
      <c r="WT39" s="41"/>
      <c r="WU39" s="41"/>
      <c r="WV39" s="41"/>
      <c r="WW39" s="41"/>
      <c r="WX39" s="41"/>
      <c r="WY39" s="76"/>
      <c r="WZ39" s="41"/>
      <c r="XA39" s="41"/>
      <c r="XB39" s="41"/>
      <c r="XC39" s="41"/>
      <c r="XD39" s="41"/>
      <c r="XE39" s="139"/>
      <c r="XF39" s="41"/>
      <c r="XG39" s="41"/>
      <c r="XH39" s="41"/>
      <c r="XI39" s="41"/>
      <c r="XJ39" s="41"/>
      <c r="XK39" s="76"/>
      <c r="XL39" s="66"/>
      <c r="XM39" s="66"/>
      <c r="XN39" s="66"/>
      <c r="XO39" s="66"/>
      <c r="XP39" s="41"/>
      <c r="XQ39" s="139"/>
      <c r="XR39" s="41"/>
      <c r="XS39" s="41"/>
      <c r="XT39" s="41"/>
      <c r="XU39" s="41"/>
      <c r="XV39" s="41"/>
      <c r="XW39" s="76"/>
      <c r="XX39" s="41"/>
      <c r="XY39" s="41"/>
      <c r="XZ39" s="41"/>
      <c r="YA39" s="41"/>
      <c r="YB39" s="41"/>
      <c r="YC39" s="139"/>
      <c r="YD39" s="41"/>
      <c r="YE39" s="41"/>
      <c r="YF39" s="41"/>
      <c r="YG39" s="41"/>
      <c r="YH39" s="41"/>
      <c r="YI39" s="76"/>
      <c r="YJ39" s="41"/>
      <c r="YK39" s="41"/>
      <c r="YL39" s="41"/>
      <c r="YM39" s="41"/>
      <c r="YN39" s="41"/>
      <c r="YO39" s="42"/>
      <c r="YP39" s="175"/>
      <c r="YQ39" s="176"/>
      <c r="YR39" s="176"/>
      <c r="YS39" s="176"/>
      <c r="YT39" s="177"/>
      <c r="YU39" s="178"/>
      <c r="YV39" s="177"/>
      <c r="YW39" s="177"/>
      <c r="YX39" s="177"/>
      <c r="YY39" s="41"/>
      <c r="YZ39" s="41"/>
      <c r="ZA39" s="139"/>
      <c r="ZB39" s="41"/>
      <c r="ZC39" s="41"/>
      <c r="ZD39" s="41"/>
      <c r="ZE39" s="41"/>
      <c r="ZF39" s="41"/>
      <c r="ZG39" s="76"/>
      <c r="ZH39" s="41"/>
      <c r="ZI39" s="41"/>
      <c r="ZJ39" s="41"/>
      <c r="ZK39" s="41"/>
      <c r="ZL39" s="41"/>
      <c r="ZM39" s="139"/>
      <c r="ZN39" s="177"/>
      <c r="ZO39" s="177"/>
      <c r="ZP39" s="177"/>
      <c r="ZQ39" s="177"/>
      <c r="ZR39" s="177"/>
      <c r="ZS39" s="180"/>
      <c r="ZT39" s="176"/>
      <c r="ZU39" s="176"/>
      <c r="ZV39" s="176"/>
      <c r="ZW39" s="176"/>
      <c r="ZX39" s="177"/>
      <c r="ZY39" s="179"/>
      <c r="ZZ39" s="177"/>
      <c r="AAA39" s="177"/>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41"/>
      <c r="ABY39" s="41"/>
      <c r="ABZ39" s="41"/>
      <c r="ACA39" s="76"/>
      <c r="ACB39" s="66"/>
      <c r="ACC39" s="66"/>
      <c r="ACD39" s="66"/>
      <c r="ACE39" s="66"/>
      <c r="ACF39" s="41"/>
      <c r="ACG39" s="139"/>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41"/>
      <c r="ADK39" s="134"/>
      <c r="ADL39" s="41"/>
      <c r="ADM39" s="41"/>
      <c r="ADN39" s="41"/>
      <c r="ADO39" s="41"/>
      <c r="ADP39" s="41"/>
      <c r="ADQ39" s="139"/>
      <c r="ADR39" s="41"/>
      <c r="ADS39" s="41"/>
      <c r="ADT39" s="41"/>
      <c r="ADU39" s="41"/>
      <c r="ADV39" s="41"/>
      <c r="ADW39" s="76"/>
      <c r="ADX39" s="41"/>
      <c r="ADY39" s="41"/>
      <c r="ADZ39" s="41"/>
      <c r="AEA39" s="41"/>
      <c r="AEB39" s="41"/>
      <c r="AEC39" s="139"/>
      <c r="AED39" s="41"/>
      <c r="AEE39" s="41"/>
      <c r="AEF39" s="41"/>
      <c r="AEG39" s="41"/>
      <c r="AEH39" s="41"/>
      <c r="AEI39" s="76"/>
      <c r="AEJ39" s="66"/>
      <c r="AEK39" s="66"/>
      <c r="AEL39" s="66"/>
      <c r="AEM39" s="66"/>
      <c r="AEN39" s="41"/>
      <c r="AEO39" s="139"/>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40"/>
      <c r="AFO39" s="66"/>
      <c r="AFP39" s="66"/>
      <c r="AFQ39" s="66"/>
      <c r="AFR39" s="41"/>
      <c r="AFS39" s="134"/>
      <c r="AFT39" s="41"/>
      <c r="AFU39" s="41"/>
      <c r="AFV39" s="41"/>
      <c r="AFW39" s="41"/>
      <c r="AFX39" s="41"/>
      <c r="AFY39" s="139"/>
      <c r="AFZ39" s="41"/>
      <c r="AGA39" s="41"/>
      <c r="AGB39" s="41"/>
      <c r="AGC39" s="41"/>
      <c r="AGD39" s="41"/>
      <c r="AGE39" s="76"/>
      <c r="AGF39" s="41"/>
      <c r="AGG39" s="41"/>
      <c r="AGH39" s="41"/>
      <c r="AGI39" s="41"/>
      <c r="AGJ39" s="41"/>
      <c r="AGK39" s="139"/>
      <c r="AGL39" s="41"/>
      <c r="AGM39" s="41"/>
      <c r="AGN39" s="41"/>
      <c r="AGO39" s="41"/>
      <c r="AGP39" s="41"/>
      <c r="AGQ39" s="76"/>
      <c r="AGR39" s="66"/>
      <c r="AGS39" s="66"/>
      <c r="AGT39" s="66"/>
      <c r="AGU39" s="66"/>
      <c r="AGV39" s="41"/>
      <c r="AGW39" s="139"/>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40"/>
      <c r="AHW39" s="66"/>
      <c r="AHX39" s="66"/>
      <c r="AHY39" s="66"/>
      <c r="AHZ39" s="41"/>
      <c r="AIA39" s="134"/>
      <c r="AIB39" s="41"/>
      <c r="AIC39" s="41"/>
      <c r="AID39" s="41"/>
      <c r="AIE39" s="41"/>
      <c r="AIF39" s="41"/>
      <c r="AIG39" s="139"/>
      <c r="AIH39" s="41"/>
      <c r="AII39" s="41"/>
      <c r="AIJ39" s="41"/>
      <c r="AIK39" s="41"/>
      <c r="AIL39" s="41"/>
      <c r="AIM39" s="76"/>
      <c r="AIN39" s="41"/>
      <c r="AIO39" s="41"/>
      <c r="AIP39" s="41"/>
      <c r="AIQ39" s="41"/>
      <c r="AIR39" s="41"/>
      <c r="AIS39" s="139"/>
      <c r="AIT39" s="41"/>
      <c r="AIU39" s="41"/>
      <c r="AIV39" s="41"/>
      <c r="AIW39" s="41"/>
      <c r="AIX39" s="41"/>
      <c r="AIY39" s="76"/>
      <c r="AIZ39" s="66"/>
      <c r="AJA39" s="66"/>
      <c r="AJB39" s="66"/>
      <c r="AJC39" s="66"/>
      <c r="AJD39" s="41"/>
      <c r="AJE39" s="139"/>
      <c r="AJF39" s="41"/>
      <c r="AJG39" s="41"/>
      <c r="AJH39" s="41"/>
      <c r="AJI39" s="41"/>
      <c r="AJJ39" s="41"/>
      <c r="AJK39" s="76"/>
      <c r="AJL39" s="41"/>
      <c r="AJM39" s="41"/>
      <c r="AJN39" s="41"/>
      <c r="AJO39" s="41"/>
      <c r="AJP39" s="41"/>
      <c r="AJQ39" s="139"/>
      <c r="AJR39" s="41"/>
      <c r="AJS39" s="41"/>
      <c r="AJT39" s="41"/>
      <c r="AJU39" s="41"/>
      <c r="AJV39" s="41"/>
      <c r="AJW39" s="76"/>
      <c r="AJX39" s="41"/>
      <c r="AJY39" s="41"/>
      <c r="AJZ39" s="41"/>
      <c r="AKA39" s="41"/>
      <c r="AKB39" s="41"/>
      <c r="AKC39" s="42"/>
      <c r="AKD39" s="40"/>
      <c r="AKE39" s="66"/>
      <c r="AKF39" s="66"/>
      <c r="AKG39" s="66"/>
      <c r="AKH39" s="41"/>
      <c r="AKI39" s="134"/>
      <c r="AKJ39" s="41"/>
      <c r="AKK39" s="41"/>
      <c r="AKL39" s="41"/>
      <c r="AKM39" s="41"/>
      <c r="AKN39" s="41"/>
      <c r="AKO39" s="139"/>
      <c r="AKP39" s="41"/>
      <c r="AKQ39" s="41"/>
      <c r="AKR39" s="41"/>
      <c r="AKS39" s="41"/>
      <c r="AKT39" s="41"/>
      <c r="AKU39" s="76"/>
      <c r="AKV39" s="41"/>
      <c r="AKW39" s="41"/>
      <c r="AKX39" s="41"/>
      <c r="AKY39" s="41"/>
      <c r="AKZ39" s="41"/>
      <c r="ALA39" s="139"/>
      <c r="ALB39" s="41"/>
      <c r="ALC39" s="41"/>
      <c r="ALD39" s="41"/>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40"/>
      <c r="AMM39" s="66"/>
      <c r="AMN39" s="66"/>
      <c r="AMO39" s="66"/>
      <c r="AMP39" s="41"/>
      <c r="AMQ39" s="134"/>
      <c r="AMR39" s="41"/>
      <c r="AMS39" s="41"/>
      <c r="AMT39" s="41"/>
      <c r="AMU39" s="41"/>
      <c r="AMV39" s="41"/>
      <c r="AMW39" s="139"/>
      <c r="AMX39" s="41"/>
      <c r="AMY39" s="41"/>
      <c r="AMZ39" s="41"/>
      <c r="ANA39" s="41"/>
      <c r="ANB39" s="41"/>
      <c r="ANC39" s="76"/>
      <c r="AND39" s="41"/>
      <c r="ANE39" s="41"/>
      <c r="ANF39" s="41"/>
      <c r="ANG39" s="41"/>
      <c r="ANH39" s="41"/>
      <c r="ANI39" s="139"/>
      <c r="ANJ39" s="41"/>
      <c r="ANK39" s="41"/>
      <c r="ANL39" s="41"/>
      <c r="ANM39" s="41"/>
      <c r="ANN39" s="41"/>
      <c r="ANO39" s="76"/>
      <c r="ANP39" s="66"/>
      <c r="ANQ39" s="66"/>
      <c r="ANR39" s="66"/>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40"/>
      <c r="AOU39" s="66"/>
      <c r="AOV39" s="66"/>
      <c r="AOW39" s="66"/>
      <c r="AOX39" s="41"/>
      <c r="AOY39" s="134"/>
      <c r="AOZ39" s="41"/>
      <c r="APA39" s="41"/>
      <c r="APB39" s="41"/>
      <c r="APC39" s="41"/>
      <c r="APD39" s="41"/>
      <c r="APE39" s="139"/>
      <c r="APF39" s="41"/>
      <c r="APG39" s="41"/>
      <c r="APH39" s="41"/>
      <c r="API39" s="41"/>
      <c r="APJ39" s="41"/>
      <c r="APK39" s="76"/>
      <c r="APL39" s="41"/>
      <c r="APM39" s="41"/>
      <c r="APN39" s="41"/>
      <c r="APO39" s="41"/>
      <c r="APP39" s="41"/>
      <c r="APQ39" s="139"/>
      <c r="APR39" s="41"/>
      <c r="APS39" s="41"/>
      <c r="APT39" s="41"/>
      <c r="APU39" s="41"/>
      <c r="APV39" s="41"/>
      <c r="APW39" s="76"/>
      <c r="APX39" s="66"/>
      <c r="APY39" s="66"/>
      <c r="APZ39" s="66"/>
      <c r="AQA39" s="66"/>
      <c r="AQB39" s="41"/>
      <c r="AQC39" s="13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40"/>
      <c r="ARC39" s="66"/>
      <c r="ARD39" s="66"/>
      <c r="ARE39" s="66"/>
      <c r="ARF39" s="41"/>
      <c r="ARG39" s="134"/>
      <c r="ARH39" s="41"/>
      <c r="ARI39" s="41"/>
      <c r="ARJ39" s="41"/>
      <c r="ARK39" s="41"/>
      <c r="ARL39" s="41"/>
      <c r="ARM39" s="139"/>
      <c r="ARN39" s="41"/>
      <c r="ARO39" s="41"/>
      <c r="ARP39" s="41"/>
      <c r="ARQ39" s="41"/>
      <c r="ARR39" s="41"/>
      <c r="ARS39" s="76"/>
      <c r="ART39" s="41"/>
      <c r="ARU39" s="41"/>
      <c r="ARV39" s="41"/>
      <c r="ARW39" s="41"/>
      <c r="ARX39" s="41"/>
      <c r="ARY39" s="139"/>
      <c r="ARZ39" s="41"/>
      <c r="ASA39" s="41"/>
      <c r="ASB39" s="41"/>
      <c r="ASC39" s="41"/>
      <c r="ASD39" s="41"/>
      <c r="ASE39" s="76"/>
      <c r="ASF39" s="66"/>
      <c r="ASG39" s="66"/>
      <c r="ASH39" s="66"/>
      <c r="ASI39" s="66"/>
      <c r="ASJ39" s="41"/>
      <c r="ASK39" s="139"/>
      <c r="ASL39" s="41"/>
      <c r="ASM39" s="41"/>
      <c r="ASN39" s="41"/>
      <c r="ASO39" s="41"/>
      <c r="ASP39" s="41"/>
      <c r="ASQ39" s="76"/>
      <c r="ASR39" s="41"/>
      <c r="ASS39" s="41"/>
      <c r="AST39" s="41"/>
      <c r="ASU39" s="41"/>
      <c r="ASV39" s="41"/>
      <c r="ASW39" s="139"/>
      <c r="ASX39" s="41"/>
      <c r="ASY39" s="41"/>
      <c r="ASZ39" s="41"/>
      <c r="ATA39" s="41"/>
      <c r="ATB39" s="41"/>
      <c r="ATC39" s="76"/>
      <c r="ATD39" s="41"/>
      <c r="ATE39" s="41"/>
      <c r="ATF39" s="41"/>
      <c r="ATG39" s="41"/>
      <c r="ATH39" s="41"/>
      <c r="ATI39" s="42"/>
      <c r="ATJ39" s="40"/>
      <c r="ATK39" s="66"/>
      <c r="ATL39" s="66"/>
      <c r="ATM39" s="66"/>
      <c r="ATN39" s="41"/>
      <c r="ATO39" s="134"/>
      <c r="ATP39" s="41"/>
      <c r="ATQ39" s="41"/>
      <c r="ATR39" s="41"/>
      <c r="ATS39" s="41"/>
      <c r="ATT39" s="41"/>
      <c r="ATU39" s="139"/>
      <c r="ATV39" s="41"/>
      <c r="ATW39" s="41"/>
      <c r="ATX39" s="41"/>
      <c r="ATY39" s="41"/>
      <c r="ATZ39" s="41"/>
      <c r="AUA39" s="76"/>
      <c r="AUB39" s="41"/>
      <c r="AUC39" s="41"/>
      <c r="AUD39" s="41"/>
      <c r="AUE39" s="41"/>
      <c r="AUF39" s="41"/>
      <c r="AUG39" s="139"/>
      <c r="AUH39" s="41"/>
      <c r="AUI39" s="41"/>
      <c r="AUJ39" s="41"/>
      <c r="AUK39" s="41"/>
      <c r="AUL39" s="41"/>
      <c r="AUM39" s="76"/>
      <c r="AUN39" s="66"/>
      <c r="AUO39" s="66"/>
      <c r="AUP39" s="66"/>
      <c r="AUQ39" s="66"/>
      <c r="AUR39" s="41"/>
      <c r="AUS39" s="13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40"/>
      <c r="AVS39" s="66"/>
      <c r="AVT39" s="66"/>
      <c r="AVU39" s="66"/>
      <c r="AVV39" s="41"/>
      <c r="AVW39" s="134"/>
      <c r="AVX39" s="41"/>
      <c r="AVY39" s="41"/>
      <c r="AVZ39" s="41"/>
      <c r="AWA39" s="41"/>
      <c r="AWB39" s="41"/>
      <c r="AWC39" s="139"/>
      <c r="AWD39" s="41"/>
      <c r="AWE39" s="41"/>
      <c r="AWF39" s="41"/>
      <c r="AWG39" s="41"/>
      <c r="AWH39" s="41"/>
      <c r="AWI39" s="76"/>
      <c r="AWJ39" s="41"/>
      <c r="AWK39" s="41"/>
      <c r="AWL39" s="41"/>
      <c r="AWM39" s="41"/>
      <c r="AWN39" s="41"/>
      <c r="AWO39" s="139"/>
      <c r="AWP39" s="41"/>
      <c r="AWQ39" s="41"/>
      <c r="AWR39" s="41"/>
      <c r="AWS39" s="41"/>
      <c r="AWT39" s="41"/>
      <c r="AWU39" s="76"/>
      <c r="AWV39" s="66"/>
      <c r="AWW39" s="66"/>
      <c r="AWX39" s="66"/>
      <c r="AWY39" s="66"/>
      <c r="AWZ39" s="41"/>
      <c r="AXA39" s="139"/>
      <c r="AXB39" s="41"/>
      <c r="AXC39" s="41"/>
      <c r="AXD39" s="41"/>
      <c r="AXE39" s="41"/>
      <c r="AXF39" s="41"/>
      <c r="AXG39" s="76"/>
      <c r="AXH39" s="41"/>
      <c r="AXI39" s="41"/>
      <c r="AXJ39" s="41"/>
      <c r="AXK39" s="41"/>
      <c r="AXL39" s="41"/>
      <c r="AXM39" s="139"/>
      <c r="AXN39" s="41"/>
      <c r="AXO39" s="41"/>
      <c r="AXP39" s="41"/>
      <c r="AXQ39" s="41"/>
      <c r="AXR39" s="41"/>
      <c r="AXS39" s="76"/>
      <c r="AXT39" s="41"/>
      <c r="AXU39" s="41"/>
      <c r="AXV39" s="41"/>
      <c r="AXW39" s="41"/>
      <c r="AXX39" s="41"/>
      <c r="AXY39" s="42"/>
      <c r="AXZ39" s="40"/>
      <c r="AYA39" s="66"/>
      <c r="AYB39" s="66"/>
      <c r="AYC39" s="66"/>
      <c r="AYD39" s="41"/>
      <c r="AYE39" s="134"/>
      <c r="AYF39" s="41"/>
      <c r="AYG39" s="41"/>
      <c r="AYH39" s="41"/>
      <c r="AYI39" s="41"/>
      <c r="AYJ39" s="41"/>
      <c r="AYK39" s="139"/>
      <c r="AYL39" s="41"/>
      <c r="AYM39" s="41"/>
      <c r="AYN39" s="41"/>
      <c r="AYO39" s="41"/>
      <c r="AYP39" s="41"/>
      <c r="AYQ39" s="76"/>
      <c r="AYR39" s="41"/>
      <c r="AYS39" s="41"/>
      <c r="AYT39" s="41"/>
      <c r="AYU39" s="41"/>
      <c r="AYV39" s="41"/>
      <c r="AYW39" s="139"/>
      <c r="AYX39" s="41"/>
      <c r="AYY39" s="41"/>
      <c r="AYZ39" s="41"/>
      <c r="AZA39" s="41"/>
      <c r="AZB39" s="41"/>
      <c r="AZC39" s="76"/>
      <c r="AZD39" s="66"/>
      <c r="AZE39" s="66"/>
      <c r="AZF39" s="66"/>
      <c r="AZG39" s="66"/>
      <c r="AZH39" s="41"/>
      <c r="AZI39" s="13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40"/>
      <c r="BHG39" s="66"/>
      <c r="BHH39" s="66"/>
      <c r="BHI39" s="66"/>
      <c r="BHJ39" s="41"/>
      <c r="BHK39" s="134"/>
      <c r="BHL39" s="41"/>
      <c r="BHM39" s="41"/>
      <c r="BHN39" s="41"/>
      <c r="BHO39" s="41"/>
      <c r="BHP39" s="41"/>
      <c r="BHQ39" s="139"/>
      <c r="BHR39" s="41"/>
      <c r="BHS39" s="41"/>
      <c r="BHT39" s="41"/>
      <c r="BHU39" s="41"/>
      <c r="BHV39" s="41"/>
      <c r="BHW39" s="76"/>
      <c r="BHX39" s="41"/>
      <c r="BHY39" s="41"/>
      <c r="BHZ39" s="41"/>
      <c r="BIA39" s="41"/>
      <c r="BIB39" s="41"/>
      <c r="BIC39" s="139"/>
      <c r="BID39" s="41"/>
      <c r="BIE39" s="41"/>
      <c r="BIF39" s="41"/>
      <c r="BIG39" s="41"/>
      <c r="BIH39" s="41"/>
      <c r="BII39" s="76"/>
      <c r="BIJ39" s="66"/>
      <c r="BIK39" s="66"/>
      <c r="BIL39" s="66"/>
      <c r="BIM39" s="66"/>
      <c r="BIN39" s="41"/>
      <c r="BIO39" s="139"/>
      <c r="BIP39" s="41"/>
      <c r="BIQ39" s="41"/>
      <c r="BIR39" s="41"/>
      <c r="BIS39" s="41"/>
      <c r="BIT39" s="41"/>
      <c r="BIU39" s="76"/>
      <c r="BIV39" s="41"/>
      <c r="BIW39" s="41"/>
      <c r="BIX39" s="41"/>
      <c r="BIY39" s="41"/>
      <c r="BIZ39" s="41"/>
      <c r="BJA39" s="139"/>
      <c r="BJB39" s="41"/>
      <c r="BJC39" s="41"/>
      <c r="BJD39" s="41"/>
      <c r="BJE39" s="41"/>
      <c r="BJF39" s="41"/>
      <c r="BJG39" s="76"/>
      <c r="BJH39" s="41"/>
      <c r="BJI39" s="41"/>
      <c r="BJJ39" s="41"/>
      <c r="BJK39" s="41"/>
      <c r="BJL39" s="41"/>
      <c r="BJM39" s="42"/>
      <c r="BJN39" s="40"/>
      <c r="BJO39" s="66"/>
      <c r="BJP39" s="66"/>
      <c r="BJQ39" s="66"/>
      <c r="BJR39" s="41"/>
      <c r="BJS39" s="134"/>
      <c r="BJT39" s="41"/>
      <c r="BJU39" s="41"/>
      <c r="BJV39" s="41"/>
      <c r="BJW39" s="41"/>
      <c r="BJX39" s="41"/>
      <c r="BJY39" s="139"/>
      <c r="BJZ39" s="41"/>
      <c r="BKA39" s="41"/>
      <c r="BKB39" s="41"/>
      <c r="BKC39" s="41"/>
      <c r="BKD39" s="41"/>
      <c r="BKE39" s="76"/>
      <c r="BKF39" s="41"/>
      <c r="BKG39" s="41"/>
      <c r="BKH39" s="41"/>
      <c r="BKI39" s="41"/>
      <c r="BKJ39" s="41"/>
      <c r="BKK39" s="139"/>
      <c r="BKL39" s="41"/>
      <c r="BKM39" s="41"/>
      <c r="BKN39" s="41"/>
      <c r="BKO39" s="41"/>
      <c r="BKP39" s="41"/>
      <c r="BKQ39" s="76"/>
      <c r="BKR39" s="66"/>
      <c r="BKS39" s="66"/>
      <c r="BKT39" s="66"/>
      <c r="BKU39" s="66"/>
      <c r="BKV39" s="41"/>
      <c r="BKW39" s="139"/>
      <c r="BKX39" s="41"/>
      <c r="BKY39" s="41"/>
      <c r="BKZ39" s="41"/>
      <c r="BLA39" s="41"/>
      <c r="BLB39" s="41"/>
      <c r="BLC39" s="76"/>
      <c r="BLD39" s="41"/>
      <c r="BLE39" s="41"/>
      <c r="BLF39" s="41"/>
      <c r="BLG39" s="41"/>
      <c r="BLH39" s="41"/>
      <c r="BLI39" s="139"/>
      <c r="BLJ39" s="41"/>
      <c r="BLK39" s="41"/>
      <c r="BLL39" s="41"/>
      <c r="BLM39" s="41"/>
      <c r="BLN39" s="41"/>
      <c r="BLO39" s="76"/>
      <c r="BLP39" s="41"/>
      <c r="BLQ39" s="41"/>
      <c r="BLR39" s="41"/>
      <c r="BLS39" s="41"/>
      <c r="BLT39" s="41"/>
      <c r="BLU39" s="42"/>
      <c r="BLV39" s="90"/>
    </row>
    <row r="40" spans="1:1686" ht="20.100000000000001" customHeight="1" x14ac:dyDescent="0.25">
      <c r="A40" s="100" t="s">
        <v>18</v>
      </c>
      <c r="B40" s="63" t="str">
        <f>IF(LEN(C65)=0,"",C65)</f>
        <v/>
      </c>
      <c r="C40" s="207"/>
      <c r="D40" s="147" t="str">
        <f t="shared" si="0"/>
        <v>0h</v>
      </c>
      <c r="E40" s="27">
        <v>0</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36"/>
      <c r="SD40" s="29"/>
      <c r="SE40" s="29"/>
      <c r="SF40" s="29"/>
      <c r="SG40" s="29"/>
      <c r="SH40" s="29"/>
      <c r="SI40" s="73"/>
      <c r="SJ40" s="29"/>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29"/>
      <c r="ZQ40" s="29"/>
      <c r="ZR40" s="29"/>
      <c r="ZS40" s="7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36"/>
      <c r="ABV40" s="29"/>
      <c r="ABW40" s="29"/>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9"/>
      <c r="AIR40" s="29"/>
      <c r="AIS40" s="136"/>
      <c r="AIT40" s="29"/>
      <c r="AIU40" s="29"/>
      <c r="AIV40" s="29"/>
      <c r="AIW40" s="29"/>
      <c r="AIX40" s="29"/>
      <c r="AIY40" s="73"/>
      <c r="AIZ40" s="67"/>
      <c r="AJA40" s="67"/>
      <c r="AJB40" s="67"/>
      <c r="AJC40" s="67"/>
      <c r="AJD40" s="29"/>
      <c r="AJE40" s="136"/>
      <c r="AJF40" s="29"/>
      <c r="AJG40" s="29"/>
      <c r="AJH40" s="29"/>
      <c r="AJI40" s="29"/>
      <c r="AJJ40" s="29"/>
      <c r="AJK40" s="73"/>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29"/>
      <c r="ANL40" s="29"/>
      <c r="ANM40" s="29"/>
      <c r="ANN40" s="29"/>
      <c r="ANO40" s="73"/>
      <c r="ANP40" s="67"/>
      <c r="ANQ40" s="67"/>
      <c r="ANR40" s="67"/>
      <c r="ANS40" s="67"/>
      <c r="ANT40" s="29"/>
      <c r="ANU40" s="136"/>
      <c r="ANV40" s="29"/>
      <c r="ANW40" s="29"/>
      <c r="ANX40" s="29"/>
      <c r="ANY40" s="29"/>
      <c r="ANZ40" s="29"/>
      <c r="AOA40" s="73"/>
      <c r="AOB40" s="29"/>
      <c r="AOC40" s="29"/>
      <c r="AOD40" s="29"/>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29"/>
      <c r="APU40" s="29"/>
      <c r="APV40" s="29"/>
      <c r="APW40" s="73"/>
      <c r="APX40" s="67"/>
      <c r="APY40" s="67"/>
      <c r="APZ40" s="67"/>
      <c r="AQA40" s="67"/>
      <c r="AQB40" s="29"/>
      <c r="AQC40" s="136"/>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28"/>
      <c r="BHG40" s="67"/>
      <c r="BHH40" s="67"/>
      <c r="BHI40" s="67"/>
      <c r="BHJ40" s="29"/>
      <c r="BHK40" s="131"/>
      <c r="BHL40" s="29"/>
      <c r="BHM40" s="29"/>
      <c r="BHN40" s="29"/>
      <c r="BHO40" s="29"/>
      <c r="BHP40" s="29"/>
      <c r="BHQ40" s="136"/>
      <c r="BHR40" s="29"/>
      <c r="BHS40" s="29"/>
      <c r="BHT40" s="29"/>
      <c r="BHU40" s="29"/>
      <c r="BHV40" s="29"/>
      <c r="BHW40" s="73"/>
      <c r="BHX40" s="29"/>
      <c r="BHY40" s="29"/>
      <c r="BHZ40" s="29"/>
      <c r="BIA40" s="29"/>
      <c r="BIB40" s="29"/>
      <c r="BIC40" s="136"/>
      <c r="BID40" s="29"/>
      <c r="BIE40" s="29"/>
      <c r="BIF40" s="29"/>
      <c r="BIG40" s="29"/>
      <c r="BIH40" s="29"/>
      <c r="BII40" s="73"/>
      <c r="BIJ40" s="67"/>
      <c r="BIK40" s="67"/>
      <c r="BIL40" s="67"/>
      <c r="BIM40" s="67"/>
      <c r="BIN40" s="29"/>
      <c r="BIO40" s="136"/>
      <c r="BIP40" s="29"/>
      <c r="BIQ40" s="29"/>
      <c r="BIR40" s="29"/>
      <c r="BIS40" s="29"/>
      <c r="BIT40" s="29"/>
      <c r="BIU40" s="73"/>
      <c r="BIV40" s="29"/>
      <c r="BIW40" s="29"/>
      <c r="BIX40" s="29"/>
      <c r="BIY40" s="29"/>
      <c r="BIZ40" s="29"/>
      <c r="BJA40" s="136"/>
      <c r="BJB40" s="29"/>
      <c r="BJC40" s="29"/>
      <c r="BJD40" s="29"/>
      <c r="BJE40" s="29"/>
      <c r="BJF40" s="29"/>
      <c r="BJG40" s="73"/>
      <c r="BJH40" s="29"/>
      <c r="BJI40" s="29"/>
      <c r="BJJ40" s="29"/>
      <c r="BJK40" s="29"/>
      <c r="BJL40" s="29"/>
      <c r="BJM40" s="30"/>
      <c r="BJN40" s="28"/>
      <c r="BJO40" s="67"/>
      <c r="BJP40" s="67"/>
      <c r="BJQ40" s="67"/>
      <c r="BJR40" s="29"/>
      <c r="BJS40" s="131"/>
      <c r="BJT40" s="29"/>
      <c r="BJU40" s="29"/>
      <c r="BJV40" s="29"/>
      <c r="BJW40" s="29"/>
      <c r="BJX40" s="29"/>
      <c r="BJY40" s="136"/>
      <c r="BJZ40" s="29"/>
      <c r="BKA40" s="29"/>
      <c r="BKB40" s="29"/>
      <c r="BKC40" s="29"/>
      <c r="BKD40" s="29"/>
      <c r="BKE40" s="73"/>
      <c r="BKF40" s="29"/>
      <c r="BKG40" s="29"/>
      <c r="BKH40" s="29"/>
      <c r="BKI40" s="29"/>
      <c r="BKJ40" s="29"/>
      <c r="BKK40" s="136"/>
      <c r="BKL40" s="29"/>
      <c r="BKM40" s="29"/>
      <c r="BKN40" s="29"/>
      <c r="BKO40" s="29"/>
      <c r="BKP40" s="29"/>
      <c r="BKQ40" s="73"/>
      <c r="BKR40" s="67"/>
      <c r="BKS40" s="67"/>
      <c r="BKT40" s="67"/>
      <c r="BKU40" s="67"/>
      <c r="BKV40" s="29"/>
      <c r="BKW40" s="136"/>
      <c r="BKX40" s="29"/>
      <c r="BKY40" s="29"/>
      <c r="BKZ40" s="29"/>
      <c r="BLA40" s="29"/>
      <c r="BLB40" s="29"/>
      <c r="BLC40" s="73"/>
      <c r="BLD40" s="29"/>
      <c r="BLE40" s="29"/>
      <c r="BLF40" s="29"/>
      <c r="BLG40" s="29"/>
      <c r="BLH40" s="29"/>
      <c r="BLI40" s="136"/>
      <c r="BLJ40" s="29"/>
      <c r="BLK40" s="29"/>
      <c r="BLL40" s="29"/>
      <c r="BLM40" s="29"/>
      <c r="BLN40" s="29"/>
      <c r="BLO40" s="73"/>
      <c r="BLP40" s="29"/>
      <c r="BLQ40" s="29"/>
      <c r="BLR40" s="29"/>
      <c r="BLS40" s="29"/>
      <c r="BLT40" s="29"/>
      <c r="BLU40" s="30"/>
      <c r="BLV40" s="90"/>
    </row>
    <row r="41" spans="1:1686" ht="20.100000000000001" customHeight="1" x14ac:dyDescent="0.25">
      <c r="A41" s="100" t="s">
        <v>17</v>
      </c>
      <c r="B41" s="63" t="str">
        <f>IF(LEN(C67)=0,"",C67)</f>
        <v/>
      </c>
      <c r="C41" s="205" t="s">
        <v>129</v>
      </c>
      <c r="D41" s="146" t="str">
        <f t="shared" si="0"/>
        <v>3h15min</v>
      </c>
      <c r="E41" s="31">
        <v>39</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32"/>
      <c r="KU41" s="64"/>
      <c r="KV41" s="64"/>
      <c r="KW41" s="64"/>
      <c r="KX41" s="33"/>
      <c r="KY41" s="132"/>
      <c r="KZ41" s="33"/>
      <c r="LA41" s="33"/>
      <c r="LB41" s="33"/>
      <c r="LC41" s="33"/>
      <c r="LD41" s="33"/>
      <c r="LE41" s="137"/>
      <c r="LF41" s="33"/>
      <c r="LG41" s="33"/>
      <c r="LH41" s="33"/>
      <c r="LI41" s="33"/>
      <c r="LJ41" s="33"/>
      <c r="LK41" s="74"/>
      <c r="LL41" s="33"/>
      <c r="LM41" s="33"/>
      <c r="LN41" s="33"/>
      <c r="LO41" s="33"/>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64"/>
      <c r="OG41" s="64"/>
      <c r="OH41" s="64"/>
      <c r="OI41" s="64"/>
      <c r="OJ41" s="33"/>
      <c r="OK41" s="137"/>
      <c r="OL41" s="33"/>
      <c r="OM41" s="33"/>
      <c r="ON41" s="33"/>
      <c r="OO41" s="33"/>
      <c r="OP41" s="33"/>
      <c r="OQ41" s="74"/>
      <c r="OR41" s="33"/>
      <c r="OS41" s="33"/>
      <c r="OT41" s="33"/>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64"/>
      <c r="QR41" s="33"/>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33"/>
      <c r="RW41" s="132"/>
      <c r="RX41" s="33"/>
      <c r="RY41" s="33"/>
      <c r="RZ41" s="33"/>
      <c r="SA41" s="33"/>
      <c r="SB41" s="33"/>
      <c r="SC41" s="137"/>
      <c r="SD41" s="33"/>
      <c r="SE41" s="33"/>
      <c r="SF41" s="33"/>
      <c r="SG41" s="33"/>
      <c r="SH41" s="33"/>
      <c r="SI41" s="74"/>
      <c r="SJ41" s="33"/>
      <c r="SK41" s="33"/>
      <c r="SL41" s="33"/>
      <c r="SM41" s="33"/>
      <c r="SN41" s="33"/>
      <c r="SO41" s="137"/>
      <c r="SP41" s="33"/>
      <c r="SQ41" s="33"/>
      <c r="SR41" s="33"/>
      <c r="SS41" s="33"/>
      <c r="ST41" s="33"/>
      <c r="SU41" s="74"/>
      <c r="SV41" s="64"/>
      <c r="SW41" s="64"/>
      <c r="SX41" s="64"/>
      <c r="SY41" s="64"/>
      <c r="SZ41" s="33"/>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33"/>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33"/>
      <c r="VR41" s="33"/>
      <c r="VS41" s="33"/>
      <c r="VT41" s="33"/>
      <c r="VU41" s="137"/>
      <c r="VV41" s="33"/>
      <c r="VW41" s="33"/>
      <c r="VX41" s="33"/>
      <c r="VY41" s="33"/>
      <c r="VZ41" s="33"/>
      <c r="WA41" s="74"/>
      <c r="WB41" s="33"/>
      <c r="WC41" s="33"/>
      <c r="WD41" s="33"/>
      <c r="WE41" s="33"/>
      <c r="WF41" s="33"/>
      <c r="WG41" s="34"/>
      <c r="WH41" s="32"/>
      <c r="WI41" s="64"/>
      <c r="WJ41" s="64"/>
      <c r="WK41" s="64"/>
      <c r="WL41" s="33"/>
      <c r="WM41" s="132"/>
      <c r="WN41" s="33"/>
      <c r="WO41" s="33"/>
      <c r="WP41" s="33"/>
      <c r="WQ41" s="33"/>
      <c r="WR41" s="33"/>
      <c r="WS41" s="137"/>
      <c r="WT41" s="33"/>
      <c r="WU41" s="33"/>
      <c r="WV41" s="33"/>
      <c r="WW41" s="33"/>
      <c r="WX41" s="33"/>
      <c r="WY41" s="74"/>
      <c r="WZ41" s="33"/>
      <c r="XA41" s="33"/>
      <c r="XB41" s="33"/>
      <c r="XC41" s="33"/>
      <c r="XD41" s="33"/>
      <c r="XE41" s="137"/>
      <c r="XF41" s="33"/>
      <c r="XG41" s="33"/>
      <c r="XH41" s="33"/>
      <c r="XI41" s="33"/>
      <c r="XJ41" s="33"/>
      <c r="XK41" s="74"/>
      <c r="XL41" s="64"/>
      <c r="XM41" s="64"/>
      <c r="XN41" s="64"/>
      <c r="XO41" s="64"/>
      <c r="XP41" s="33"/>
      <c r="XQ41" s="137"/>
      <c r="XR41" s="33"/>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32"/>
      <c r="YQ41" s="64"/>
      <c r="YR41" s="64"/>
      <c r="YS41" s="64"/>
      <c r="YT41" s="33"/>
      <c r="YU41" s="132"/>
      <c r="YV41" s="33"/>
      <c r="YW41" s="33"/>
      <c r="YX41" s="33"/>
      <c r="YY41" s="33"/>
      <c r="YZ41" s="33"/>
      <c r="ZA41" s="137"/>
      <c r="ZB41" s="33"/>
      <c r="ZC41" s="33"/>
      <c r="ZD41" s="33"/>
      <c r="ZE41" s="33"/>
      <c r="ZF41" s="33"/>
      <c r="ZG41" s="74"/>
      <c r="ZH41" s="33"/>
      <c r="ZI41" s="33"/>
      <c r="ZJ41" s="33"/>
      <c r="ZK41" s="33"/>
      <c r="ZL41" s="33"/>
      <c r="ZM41" s="137"/>
      <c r="ZN41" s="33"/>
      <c r="ZO41" s="33"/>
      <c r="ZP41" s="33"/>
      <c r="ZQ41" s="33"/>
      <c r="ZR41" s="33"/>
      <c r="ZS41" s="74"/>
      <c r="ZT41" s="64"/>
      <c r="ZU41" s="64"/>
      <c r="ZV41" s="64"/>
      <c r="ZW41" s="64"/>
      <c r="ZX41" s="33"/>
      <c r="ZY41" s="137"/>
      <c r="ZZ41" s="33"/>
      <c r="AAA41" s="33"/>
      <c r="AAB41" s="33"/>
      <c r="AAC41" s="33"/>
      <c r="AAD41" s="33"/>
      <c r="AAE41" s="74"/>
      <c r="AAF41" s="33"/>
      <c r="AAG41" s="33"/>
      <c r="AAH41" s="33"/>
      <c r="AAI41" s="33"/>
      <c r="AAJ41" s="33"/>
      <c r="AAK41" s="137"/>
      <c r="AAL41" s="33"/>
      <c r="AAM41" s="33"/>
      <c r="AAN41" s="33"/>
      <c r="AAO41" s="33"/>
      <c r="AAP41" s="33"/>
      <c r="AAQ41" s="74"/>
      <c r="AAR41" s="33"/>
      <c r="AAS41" s="33"/>
      <c r="AAT41" s="33"/>
      <c r="AAU41" s="33"/>
      <c r="AAV41" s="33"/>
      <c r="AAW41" s="34"/>
      <c r="AAX41" s="165"/>
      <c r="AAY41" s="166"/>
      <c r="AAZ41" s="166"/>
      <c r="ABA41" s="64"/>
      <c r="ABB41" s="33"/>
      <c r="ABC41" s="132"/>
      <c r="ABD41" s="33"/>
      <c r="ABE41" s="33"/>
      <c r="ABF41" s="33"/>
      <c r="ABG41" s="33"/>
      <c r="ABH41" s="33"/>
      <c r="ABI41" s="137"/>
      <c r="ABJ41" s="167"/>
      <c r="ABK41" s="167"/>
      <c r="ABL41" s="167"/>
      <c r="ABM41" s="167"/>
      <c r="ABN41" s="167"/>
      <c r="ABO41" s="182"/>
      <c r="ABP41" s="33"/>
      <c r="ABQ41" s="33"/>
      <c r="ABR41" s="33"/>
      <c r="ABS41" s="33"/>
      <c r="ABT41" s="33"/>
      <c r="ABU41" s="137"/>
      <c r="ABV41" s="33"/>
      <c r="ABW41" s="33"/>
      <c r="ABX41" s="33"/>
      <c r="ABY41" s="33"/>
      <c r="ABZ41" s="33"/>
      <c r="ACA41" s="74"/>
      <c r="ACB41" s="64"/>
      <c r="ACC41" s="64"/>
      <c r="ACD41" s="64"/>
      <c r="ACE41" s="64"/>
      <c r="ACF41" s="33"/>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33"/>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64"/>
      <c r="AEN41" s="33"/>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64"/>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64"/>
      <c r="AGV41" s="33"/>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32"/>
      <c r="AHW41" s="64"/>
      <c r="AHX41" s="64"/>
      <c r="AHY41" s="64"/>
      <c r="AHZ41" s="33"/>
      <c r="AIA41" s="132"/>
      <c r="AIB41" s="33"/>
      <c r="AIC41" s="33"/>
      <c r="AID41" s="33"/>
      <c r="AIE41" s="33"/>
      <c r="AIF41" s="33"/>
      <c r="AIG41" s="137"/>
      <c r="AIH41" s="33"/>
      <c r="AII41" s="33"/>
      <c r="AIJ41" s="33"/>
      <c r="AIK41" s="33"/>
      <c r="AIL41" s="33"/>
      <c r="AIM41" s="74"/>
      <c r="AIN41" s="33"/>
      <c r="AIO41" s="33"/>
      <c r="AIP41" s="33"/>
      <c r="AIQ41" s="33"/>
      <c r="AIR41" s="33"/>
      <c r="AIS41" s="137"/>
      <c r="AIT41" s="33"/>
      <c r="AIU41" s="33"/>
      <c r="AIV41" s="33"/>
      <c r="AIW41" s="33"/>
      <c r="AIX41" s="33"/>
      <c r="AIY41" s="74"/>
      <c r="AIZ41" s="64"/>
      <c r="AJA41" s="64"/>
      <c r="AJB41" s="64"/>
      <c r="AJC41" s="64"/>
      <c r="AJD41" s="33"/>
      <c r="AJE41" s="137"/>
      <c r="AJF41" s="33"/>
      <c r="AJG41" s="33"/>
      <c r="AJH41" s="33"/>
      <c r="AJI41" s="33"/>
      <c r="AJJ41" s="33"/>
      <c r="AJK41" s="74"/>
      <c r="AJL41" s="33"/>
      <c r="AJM41" s="33"/>
      <c r="AJN41" s="33"/>
      <c r="AJO41" s="33"/>
      <c r="AJP41" s="33"/>
      <c r="AJQ41" s="137"/>
      <c r="AJR41" s="33"/>
      <c r="AJS41" s="33"/>
      <c r="AJT41" s="33"/>
      <c r="AJU41" s="33"/>
      <c r="AJV41" s="33"/>
      <c r="AJW41" s="74"/>
      <c r="AJX41" s="33"/>
      <c r="AJY41" s="33"/>
      <c r="AJZ41" s="33"/>
      <c r="AKA41" s="33"/>
      <c r="AKB41" s="33"/>
      <c r="AKC41" s="34"/>
      <c r="AKD41" s="165"/>
      <c r="AKE41" s="166"/>
      <c r="AKF41" s="166"/>
      <c r="AKG41" s="166"/>
      <c r="AKH41" s="167"/>
      <c r="AKI41" s="168"/>
      <c r="AKJ41" s="167"/>
      <c r="AKK41" s="167"/>
      <c r="AKL41" s="167"/>
      <c r="AKM41" s="167"/>
      <c r="AKN41" s="167"/>
      <c r="AKO41" s="181"/>
      <c r="AKP41" s="33"/>
      <c r="AKQ41" s="33"/>
      <c r="AKR41" s="33"/>
      <c r="AKS41" s="33"/>
      <c r="AKT41" s="33"/>
      <c r="AKU41" s="74"/>
      <c r="AKV41" s="33"/>
      <c r="AKW41" s="33"/>
      <c r="AKX41" s="33"/>
      <c r="AKY41" s="33"/>
      <c r="AKZ41" s="33"/>
      <c r="ALA41" s="137"/>
      <c r="ALB41" s="33"/>
      <c r="ALC41" s="33"/>
      <c r="ALD41" s="33"/>
      <c r="ALE41" s="33"/>
      <c r="ALF41" s="33"/>
      <c r="ALG41" s="74"/>
      <c r="ALH41" s="64"/>
      <c r="ALI41" s="64"/>
      <c r="ALJ41" s="64"/>
      <c r="ALK41" s="64"/>
      <c r="ALL41" s="33"/>
      <c r="ALM41" s="137"/>
      <c r="ALN41" s="33"/>
      <c r="ALO41" s="33"/>
      <c r="ALP41" s="33"/>
      <c r="ALQ41" s="33"/>
      <c r="ALR41" s="33"/>
      <c r="ALS41" s="74"/>
      <c r="ALT41" s="33"/>
      <c r="ALU41" s="33"/>
      <c r="ALV41" s="33"/>
      <c r="ALW41" s="33"/>
      <c r="ALX41" s="33"/>
      <c r="ALY41" s="137"/>
      <c r="ALZ41" s="33"/>
      <c r="AMA41" s="33"/>
      <c r="AMB41" s="33"/>
      <c r="AMC41" s="33"/>
      <c r="AMD41" s="33"/>
      <c r="AME41" s="74"/>
      <c r="AMF41" s="33"/>
      <c r="AMG41" s="33"/>
      <c r="AMH41" s="33"/>
      <c r="AMI41" s="33"/>
      <c r="AMJ41" s="33"/>
      <c r="AMK41" s="34"/>
      <c r="AML41" s="32"/>
      <c r="AMM41" s="64"/>
      <c r="AMN41" s="64"/>
      <c r="AMO41" s="64"/>
      <c r="AMP41" s="33"/>
      <c r="AMQ41" s="132"/>
      <c r="AMR41" s="33"/>
      <c r="AMS41" s="33"/>
      <c r="AMT41" s="33"/>
      <c r="AMU41" s="33"/>
      <c r="AMV41" s="33"/>
      <c r="AMW41" s="137"/>
      <c r="AMX41" s="33"/>
      <c r="AMY41" s="33"/>
      <c r="AMZ41" s="33"/>
      <c r="ANA41" s="33"/>
      <c r="ANB41" s="33"/>
      <c r="ANC41" s="74"/>
      <c r="AND41" s="33"/>
      <c r="ANE41" s="33"/>
      <c r="ANF41" s="33"/>
      <c r="ANG41" s="33"/>
      <c r="ANH41" s="33"/>
      <c r="ANI41" s="137"/>
      <c r="ANJ41" s="33"/>
      <c r="ANK41" s="33"/>
      <c r="ANL41" s="33"/>
      <c r="ANM41" s="33"/>
      <c r="ANN41" s="33"/>
      <c r="ANO41" s="74"/>
      <c r="ANP41" s="64"/>
      <c r="ANQ41" s="64"/>
      <c r="ANR41" s="64"/>
      <c r="ANS41" s="64"/>
      <c r="ANT41" s="33"/>
      <c r="ANU41" s="137"/>
      <c r="ANV41" s="33"/>
      <c r="ANW41" s="33"/>
      <c r="ANX41" s="33"/>
      <c r="ANY41" s="33"/>
      <c r="ANZ41" s="33"/>
      <c r="AOA41" s="74"/>
      <c r="AOB41" s="33"/>
      <c r="AOC41" s="33"/>
      <c r="AOD41" s="33"/>
      <c r="AOE41" s="33"/>
      <c r="AOF41" s="33"/>
      <c r="AOG41" s="137"/>
      <c r="AOH41" s="33"/>
      <c r="AOI41" s="33"/>
      <c r="AOJ41" s="33"/>
      <c r="AOK41" s="33"/>
      <c r="AOL41" s="33"/>
      <c r="AOM41" s="74"/>
      <c r="AON41" s="33"/>
      <c r="AOO41" s="33"/>
      <c r="AOP41" s="33"/>
      <c r="AOQ41" s="33"/>
      <c r="AOR41" s="33"/>
      <c r="AOS41" s="34"/>
      <c r="AOT41" s="165"/>
      <c r="AOU41" s="166"/>
      <c r="AOV41" s="166"/>
      <c r="AOW41" s="166"/>
      <c r="AOX41" s="167"/>
      <c r="AOY41" s="168"/>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64"/>
      <c r="AQB41" s="33"/>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64"/>
      <c r="ASJ41" s="33"/>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33"/>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64"/>
      <c r="AUR41" s="33"/>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64"/>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33"/>
      <c r="AXJ41" s="33"/>
      <c r="AXK41" s="33"/>
      <c r="AXL41" s="33"/>
      <c r="AXM41" s="137"/>
      <c r="AXN41" s="33"/>
      <c r="AXO41" s="33"/>
      <c r="AXP41" s="33"/>
      <c r="AXQ41" s="33"/>
      <c r="AXR41" s="33"/>
      <c r="AXS41" s="74"/>
      <c r="AXT41" s="33"/>
      <c r="AXU41" s="33"/>
      <c r="AXV41" s="33"/>
      <c r="AXW41" s="33"/>
      <c r="AXX41" s="33"/>
      <c r="AXY41" s="34"/>
      <c r="AXZ41" s="165"/>
      <c r="AYA41" s="166"/>
      <c r="AYB41" s="166"/>
      <c r="AYC41" s="166"/>
      <c r="AYD41" s="167"/>
      <c r="AYE41" s="168"/>
      <c r="AYF41" s="167"/>
      <c r="AYG41" s="167"/>
      <c r="AYH41" s="167"/>
      <c r="AYI41" s="167"/>
      <c r="AYJ41" s="167"/>
      <c r="AYK41" s="181"/>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64"/>
      <c r="AZH41" s="33"/>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32"/>
      <c r="BAI41" s="64"/>
      <c r="BAJ41" s="64"/>
      <c r="BAK41" s="64"/>
      <c r="BAL41" s="33"/>
      <c r="BAM41" s="132"/>
      <c r="BAN41" s="33"/>
      <c r="BAO41" s="33"/>
      <c r="BAP41" s="33"/>
      <c r="BAQ41" s="33"/>
      <c r="BAR41" s="33"/>
      <c r="BAS41" s="137"/>
      <c r="BAT41" s="33"/>
      <c r="BAU41" s="33"/>
      <c r="BAV41" s="33"/>
      <c r="BAW41" s="33"/>
      <c r="BAX41" s="33"/>
      <c r="BAY41" s="74"/>
      <c r="BAZ41" s="33"/>
      <c r="BBA41" s="33"/>
      <c r="BBB41" s="33"/>
      <c r="BBC41" s="33"/>
      <c r="BBD41" s="33"/>
      <c r="BBE41" s="137"/>
      <c r="BBF41" s="33"/>
      <c r="BBG41" s="33"/>
      <c r="BBH41" s="33"/>
      <c r="BBI41" s="33"/>
      <c r="BBJ41" s="33"/>
      <c r="BBK41" s="74"/>
      <c r="BBL41" s="64"/>
      <c r="BBM41" s="64"/>
      <c r="BBN41" s="64"/>
      <c r="BBO41" s="64"/>
      <c r="BBP41" s="33"/>
      <c r="BBQ41" s="137"/>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32"/>
      <c r="BCQ41" s="64"/>
      <c r="BCR41" s="64"/>
      <c r="BCS41" s="64"/>
      <c r="BCT41" s="33"/>
      <c r="BCU41" s="132"/>
      <c r="BCV41" s="33"/>
      <c r="BCW41" s="33"/>
      <c r="BCX41" s="33"/>
      <c r="BCY41" s="33"/>
      <c r="BCZ41" s="33"/>
      <c r="BDA41" s="137"/>
      <c r="BDB41" s="33"/>
      <c r="BDC41" s="33"/>
      <c r="BDD41" s="33"/>
      <c r="BDE41" s="33"/>
      <c r="BDF41" s="33"/>
      <c r="BDG41" s="74"/>
      <c r="BDH41" s="33"/>
      <c r="BDI41" s="33"/>
      <c r="BDJ41" s="33"/>
      <c r="BDK41" s="33"/>
      <c r="BDL41" s="33"/>
      <c r="BDM41" s="137"/>
      <c r="BDN41" s="33"/>
      <c r="BDO41" s="33"/>
      <c r="BDP41" s="33"/>
      <c r="BDQ41" s="33"/>
      <c r="BDR41" s="33"/>
      <c r="BDS41" s="74"/>
      <c r="BDT41" s="64"/>
      <c r="BDU41" s="64"/>
      <c r="BDV41" s="64"/>
      <c r="BDW41" s="64"/>
      <c r="BDX41" s="33"/>
      <c r="BDY41" s="137"/>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32"/>
      <c r="BEY41" s="64"/>
      <c r="BEZ41" s="64"/>
      <c r="BFA41" s="64"/>
      <c r="BFB41" s="33"/>
      <c r="BFC41" s="132"/>
      <c r="BFD41" s="33"/>
      <c r="BFE41" s="33"/>
      <c r="BFF41" s="33"/>
      <c r="BFG41" s="33"/>
      <c r="BFH41" s="33"/>
      <c r="BFI41" s="137"/>
      <c r="BFJ41" s="33"/>
      <c r="BFK41" s="33"/>
      <c r="BFL41" s="33"/>
      <c r="BFM41" s="33"/>
      <c r="BFN41" s="33"/>
      <c r="BFO41" s="74"/>
      <c r="BFP41" s="33"/>
      <c r="BFQ41" s="33"/>
      <c r="BFR41" s="33"/>
      <c r="BFS41" s="33"/>
      <c r="BFT41" s="33"/>
      <c r="BFU41" s="137"/>
      <c r="BFV41" s="33"/>
      <c r="BFW41" s="33"/>
      <c r="BFX41" s="33"/>
      <c r="BFY41" s="33"/>
      <c r="BFZ41" s="33"/>
      <c r="BGA41" s="74"/>
      <c r="BGB41" s="64"/>
      <c r="BGC41" s="64"/>
      <c r="BGD41" s="64"/>
      <c r="BGE41" s="64"/>
      <c r="BGF41" s="33"/>
      <c r="BGG41" s="137"/>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32"/>
      <c r="BHG41" s="64"/>
      <c r="BHH41" s="64"/>
      <c r="BHI41" s="64"/>
      <c r="BHJ41" s="33"/>
      <c r="BHK41" s="132"/>
      <c r="BHL41" s="33"/>
      <c r="BHM41" s="33"/>
      <c r="BHN41" s="33"/>
      <c r="BHO41" s="33"/>
      <c r="BHP41" s="33"/>
      <c r="BHQ41" s="137"/>
      <c r="BHR41" s="33"/>
      <c r="BHS41" s="33"/>
      <c r="BHT41" s="33"/>
      <c r="BHU41" s="33"/>
      <c r="BHV41" s="33"/>
      <c r="BHW41" s="74"/>
      <c r="BHX41" s="33"/>
      <c r="BHY41" s="33"/>
      <c r="BHZ41" s="33"/>
      <c r="BIA41" s="33"/>
      <c r="BIB41" s="33"/>
      <c r="BIC41" s="137"/>
      <c r="BID41" s="33"/>
      <c r="BIE41" s="33"/>
      <c r="BIF41" s="33"/>
      <c r="BIG41" s="33"/>
      <c r="BIH41" s="33"/>
      <c r="BII41" s="74"/>
      <c r="BIJ41" s="64"/>
      <c r="BIK41" s="64"/>
      <c r="BIL41" s="64"/>
      <c r="BIM41" s="64"/>
      <c r="BIN41" s="33"/>
      <c r="BIO41" s="137"/>
      <c r="BIP41" s="33"/>
      <c r="BIQ41" s="33"/>
      <c r="BIR41" s="33"/>
      <c r="BIS41" s="33"/>
      <c r="BIT41" s="33"/>
      <c r="BIU41" s="74"/>
      <c r="BIV41" s="33"/>
      <c r="BIW41" s="33"/>
      <c r="BIX41" s="33"/>
      <c r="BIY41" s="33"/>
      <c r="BIZ41" s="33"/>
      <c r="BJA41" s="137"/>
      <c r="BJB41" s="33"/>
      <c r="BJC41" s="33"/>
      <c r="BJD41" s="33"/>
      <c r="BJE41" s="33"/>
      <c r="BJF41" s="33"/>
      <c r="BJG41" s="74"/>
      <c r="BJH41" s="33"/>
      <c r="BJI41" s="33"/>
      <c r="BJJ41" s="33"/>
      <c r="BJK41" s="33"/>
      <c r="BJL41" s="33"/>
      <c r="BJM41" s="34"/>
      <c r="BJN41" s="32"/>
      <c r="BJO41" s="64"/>
      <c r="BJP41" s="64"/>
      <c r="BJQ41" s="64"/>
      <c r="BJR41" s="33"/>
      <c r="BJS41" s="132"/>
      <c r="BJT41" s="33"/>
      <c r="BJU41" s="33"/>
      <c r="BJV41" s="33"/>
      <c r="BJW41" s="33"/>
      <c r="BJX41" s="33"/>
      <c r="BJY41" s="137"/>
      <c r="BJZ41" s="33"/>
      <c r="BKA41" s="33"/>
      <c r="BKB41" s="33"/>
      <c r="BKC41" s="33"/>
      <c r="BKD41" s="33"/>
      <c r="BKE41" s="74"/>
      <c r="BKF41" s="33"/>
      <c r="BKG41" s="33"/>
      <c r="BKH41" s="33"/>
      <c r="BKI41" s="33"/>
      <c r="BKJ41" s="33"/>
      <c r="BKK41" s="137"/>
      <c r="BKL41" s="33"/>
      <c r="BKM41" s="33"/>
      <c r="BKN41" s="33"/>
      <c r="BKO41" s="33"/>
      <c r="BKP41" s="33"/>
      <c r="BKQ41" s="74"/>
      <c r="BKR41" s="64"/>
      <c r="BKS41" s="64"/>
      <c r="BKT41" s="64"/>
      <c r="BKU41" s="64"/>
      <c r="BKV41" s="33"/>
      <c r="BKW41" s="137"/>
      <c r="BKX41" s="33"/>
      <c r="BKY41" s="33"/>
      <c r="BKZ41" s="33"/>
      <c r="BLA41" s="33"/>
      <c r="BLB41" s="33"/>
      <c r="BLC41" s="74"/>
      <c r="BLD41" s="33"/>
      <c r="BLE41" s="33"/>
      <c r="BLF41" s="33"/>
      <c r="BLG41" s="33"/>
      <c r="BLH41" s="33"/>
      <c r="BLI41" s="137"/>
      <c r="BLJ41" s="33"/>
      <c r="BLK41" s="33"/>
      <c r="BLL41" s="33"/>
      <c r="BLM41" s="33"/>
      <c r="BLN41" s="33"/>
      <c r="BLO41" s="74"/>
      <c r="BLP41" s="33"/>
      <c r="BLQ41" s="33"/>
      <c r="BLR41" s="33"/>
      <c r="BLS41" s="33"/>
      <c r="BLT41" s="33"/>
      <c r="BLU41" s="34"/>
      <c r="BLV41" s="90"/>
    </row>
    <row r="42" spans="1:1686" ht="20.100000000000001" customHeight="1" x14ac:dyDescent="0.3">
      <c r="A42" s="100" t="s">
        <v>18</v>
      </c>
      <c r="B42" s="63" t="str">
        <f>IF(LEN(C69)=0,"",C69)</f>
        <v/>
      </c>
      <c r="C42" s="207"/>
      <c r="D42" s="148" t="str">
        <f t="shared" si="0"/>
        <v>0h</v>
      </c>
      <c r="E42" s="35">
        <v>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37"/>
      <c r="LM42" s="37"/>
      <c r="LN42" s="37"/>
      <c r="LO42" s="37"/>
      <c r="LP42" s="37"/>
      <c r="LQ42" s="138"/>
      <c r="LR42" s="37"/>
      <c r="LS42" s="37"/>
      <c r="LT42" s="37"/>
      <c r="LU42" s="37"/>
      <c r="LV42" s="37"/>
      <c r="LW42" s="75"/>
      <c r="LX42" s="65"/>
      <c r="LY42" s="65"/>
      <c r="LZ42" s="65"/>
      <c r="MA42" s="65"/>
      <c r="MB42" s="37"/>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138"/>
      <c r="OL42" s="37"/>
      <c r="OM42" s="37"/>
      <c r="ON42" s="37"/>
      <c r="OO42" s="37"/>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37"/>
      <c r="UP42" s="37"/>
      <c r="UQ42" s="75"/>
      <c r="UR42" s="37"/>
      <c r="US42" s="37"/>
      <c r="UT42" s="37"/>
      <c r="UU42" s="37"/>
      <c r="UV42" s="37"/>
      <c r="UW42" s="138"/>
      <c r="UX42" s="37"/>
      <c r="UY42" s="37"/>
      <c r="UZ42" s="37"/>
      <c r="VA42" s="37"/>
      <c r="VB42" s="37"/>
      <c r="VC42" s="75"/>
      <c r="VD42" s="65"/>
      <c r="VE42" s="65"/>
      <c r="VF42" s="65"/>
      <c r="VG42" s="65"/>
      <c r="VH42" s="37"/>
      <c r="VI42" s="138"/>
      <c r="VJ42" s="37"/>
      <c r="VK42" s="37"/>
      <c r="VL42" s="37"/>
      <c r="VM42" s="37"/>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37"/>
      <c r="XC42" s="37"/>
      <c r="XD42" s="37"/>
      <c r="XE42" s="138"/>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36"/>
      <c r="YQ42" s="65"/>
      <c r="YR42" s="65"/>
      <c r="YS42" s="65"/>
      <c r="YT42" s="37"/>
      <c r="YU42" s="133"/>
      <c r="YV42" s="37"/>
      <c r="YW42" s="37"/>
      <c r="YX42" s="37"/>
      <c r="YY42" s="37"/>
      <c r="YZ42" s="37"/>
      <c r="ZA42" s="138"/>
      <c r="ZB42" s="37"/>
      <c r="ZC42" s="37"/>
      <c r="ZD42" s="37"/>
      <c r="ZE42" s="37"/>
      <c r="ZF42" s="37"/>
      <c r="ZG42" s="75"/>
      <c r="ZH42" s="37"/>
      <c r="ZI42" s="37"/>
      <c r="ZJ42" s="37"/>
      <c r="ZK42" s="37"/>
      <c r="ZL42" s="37"/>
      <c r="ZM42" s="138"/>
      <c r="ZN42" s="37"/>
      <c r="ZO42" s="37"/>
      <c r="ZP42" s="37"/>
      <c r="ZQ42" s="37"/>
      <c r="ZR42" s="37"/>
      <c r="ZS42" s="75"/>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36"/>
      <c r="AFO42" s="65"/>
      <c r="AFP42" s="65"/>
      <c r="AFQ42" s="65"/>
      <c r="AFR42" s="37"/>
      <c r="AFS42" s="133"/>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138"/>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37"/>
      <c r="AJM42" s="37"/>
      <c r="AJN42" s="37"/>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37"/>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65"/>
      <c r="ALJ42" s="65"/>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37"/>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37"/>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65"/>
      <c r="AVU42" s="65"/>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65"/>
      <c r="BGE42" s="65"/>
      <c r="BGF42" s="37"/>
      <c r="BGG42" s="138"/>
      <c r="BGH42" s="37"/>
      <c r="BGI42" s="37"/>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36"/>
      <c r="BHG42" s="65"/>
      <c r="BHH42" s="65"/>
      <c r="BHI42" s="65"/>
      <c r="BHJ42" s="37"/>
      <c r="BHK42" s="133"/>
      <c r="BHL42" s="37"/>
      <c r="BHM42" s="37"/>
      <c r="BHN42" s="37"/>
      <c r="BHO42" s="37"/>
      <c r="BHP42" s="37"/>
      <c r="BHQ42" s="138"/>
      <c r="BHR42" s="37"/>
      <c r="BHS42" s="37"/>
      <c r="BHT42" s="37"/>
      <c r="BHU42" s="37"/>
      <c r="BHV42" s="37"/>
      <c r="BHW42" s="75"/>
      <c r="BHX42" s="37"/>
      <c r="BHY42" s="37"/>
      <c r="BHZ42" s="37"/>
      <c r="BIA42" s="37"/>
      <c r="BIB42" s="37"/>
      <c r="BIC42" s="138"/>
      <c r="BID42" s="37"/>
      <c r="BIE42" s="37"/>
      <c r="BIF42" s="37"/>
      <c r="BIG42" s="37"/>
      <c r="BIH42" s="37"/>
      <c r="BII42" s="75"/>
      <c r="BIJ42" s="65"/>
      <c r="BIK42" s="65"/>
      <c r="BIL42" s="65"/>
      <c r="BIM42" s="65"/>
      <c r="BIN42" s="37"/>
      <c r="BIO42" s="138"/>
      <c r="BIP42" s="37"/>
      <c r="BIQ42" s="37"/>
      <c r="BIR42" s="37"/>
      <c r="BIS42" s="37"/>
      <c r="BIT42" s="37"/>
      <c r="BIU42" s="75"/>
      <c r="BIV42" s="37"/>
      <c r="BIW42" s="37"/>
      <c r="BIX42" s="37"/>
      <c r="BIY42" s="37"/>
      <c r="BIZ42" s="37"/>
      <c r="BJA42" s="138"/>
      <c r="BJB42" s="37"/>
      <c r="BJC42" s="37"/>
      <c r="BJD42" s="37"/>
      <c r="BJE42" s="37"/>
      <c r="BJF42" s="37"/>
      <c r="BJG42" s="75"/>
      <c r="BJH42" s="37"/>
      <c r="BJI42" s="37"/>
      <c r="BJJ42" s="37"/>
      <c r="BJK42" s="37"/>
      <c r="BJL42" s="37"/>
      <c r="BJM42" s="38"/>
      <c r="BJN42" s="36"/>
      <c r="BJO42" s="65"/>
      <c r="BJP42" s="65"/>
      <c r="BJQ42" s="65"/>
      <c r="BJR42" s="37"/>
      <c r="BJS42" s="133"/>
      <c r="BJT42" s="37"/>
      <c r="BJU42" s="37"/>
      <c r="BJV42" s="37"/>
      <c r="BJW42" s="37"/>
      <c r="BJX42" s="37"/>
      <c r="BJY42" s="138"/>
      <c r="BJZ42" s="37"/>
      <c r="BKA42" s="37"/>
      <c r="BKB42" s="37"/>
      <c r="BKC42" s="37"/>
      <c r="BKD42" s="37"/>
      <c r="BKE42" s="75"/>
      <c r="BKF42" s="37"/>
      <c r="BKG42" s="37"/>
      <c r="BKH42" s="37"/>
      <c r="BKI42" s="37"/>
      <c r="BKJ42" s="37"/>
      <c r="BKK42" s="138"/>
      <c r="BKL42" s="37"/>
      <c r="BKM42" s="37"/>
      <c r="BKN42" s="37"/>
      <c r="BKO42" s="37"/>
      <c r="BKP42" s="37"/>
      <c r="BKQ42" s="75"/>
      <c r="BKR42" s="65"/>
      <c r="BKS42" s="65"/>
      <c r="BKT42" s="65"/>
      <c r="BKU42" s="65"/>
      <c r="BKV42" s="37"/>
      <c r="BKW42" s="138"/>
      <c r="BKX42" s="37"/>
      <c r="BKY42" s="37"/>
      <c r="BKZ42" s="37"/>
      <c r="BLA42" s="37"/>
      <c r="BLB42" s="37"/>
      <c r="BLC42" s="75"/>
      <c r="BLD42" s="37"/>
      <c r="BLE42" s="37"/>
      <c r="BLF42" s="37"/>
      <c r="BLG42" s="37"/>
      <c r="BLH42" s="37"/>
      <c r="BLI42" s="138"/>
      <c r="BLJ42" s="37"/>
      <c r="BLK42" s="37"/>
      <c r="BLL42" s="37"/>
      <c r="BLM42" s="37"/>
      <c r="BLN42" s="37"/>
      <c r="BLO42" s="75"/>
      <c r="BLP42" s="37"/>
      <c r="BLQ42" s="37"/>
      <c r="BLR42" s="37"/>
      <c r="BLS42" s="37"/>
      <c r="BLT42" s="37"/>
      <c r="BLU42" s="38"/>
      <c r="BLV42" s="90"/>
    </row>
    <row r="43" spans="1:1686" ht="20.100000000000001" customHeight="1" x14ac:dyDescent="0.25">
      <c r="A43" s="100" t="s">
        <v>17</v>
      </c>
      <c r="B43" s="63" t="str">
        <f>IF(LEN(C71)=0,"",C71)</f>
        <v/>
      </c>
      <c r="C43" s="205" t="s">
        <v>156</v>
      </c>
      <c r="D43" s="146" t="str">
        <f t="shared" si="0"/>
        <v>9h10min</v>
      </c>
      <c r="E43" s="31">
        <v>110</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33"/>
      <c r="MK43" s="33"/>
      <c r="ML43" s="33"/>
      <c r="MM43" s="33"/>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32"/>
      <c r="PK43" s="64"/>
      <c r="PL43" s="64"/>
      <c r="PM43" s="64"/>
      <c r="PN43" s="33"/>
      <c r="PO43" s="132"/>
      <c r="PP43" s="33"/>
      <c r="PQ43" s="33"/>
      <c r="PR43" s="33"/>
      <c r="PS43" s="33"/>
      <c r="PT43" s="33"/>
      <c r="PU43" s="137"/>
      <c r="PV43" s="33"/>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33"/>
      <c r="SQ43" s="33"/>
      <c r="SR43" s="33"/>
      <c r="SS43" s="33"/>
      <c r="ST43" s="33"/>
      <c r="SU43" s="74"/>
      <c r="SV43" s="64"/>
      <c r="SW43" s="64"/>
      <c r="SX43" s="64"/>
      <c r="SY43" s="64"/>
      <c r="SZ43" s="33"/>
      <c r="TA43" s="137"/>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33"/>
      <c r="WW43" s="33"/>
      <c r="WX43" s="33"/>
      <c r="WY43" s="74"/>
      <c r="WZ43" s="33"/>
      <c r="XA43" s="33"/>
      <c r="XB43" s="33"/>
      <c r="XC43" s="33"/>
      <c r="XD43" s="33"/>
      <c r="XE43" s="137"/>
      <c r="XF43" s="33"/>
      <c r="XG43" s="33"/>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33"/>
      <c r="ACA43" s="74"/>
      <c r="ACB43" s="64"/>
      <c r="ACC43" s="64"/>
      <c r="ACD43" s="64"/>
      <c r="ACE43" s="64"/>
      <c r="ACF43" s="33"/>
      <c r="ACG43" s="137"/>
      <c r="ACH43" s="33"/>
      <c r="ACI43" s="33"/>
      <c r="ACJ43" s="33"/>
      <c r="ACK43" s="33"/>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64"/>
      <c r="AEK43" s="64"/>
      <c r="AEL43" s="64"/>
      <c r="AEM43" s="64"/>
      <c r="AEN43" s="33"/>
      <c r="AEO43" s="137"/>
      <c r="AEP43" s="33"/>
      <c r="AEQ43" s="33"/>
      <c r="AER43" s="33"/>
      <c r="AES43" s="33"/>
      <c r="AET43" s="33"/>
      <c r="AEU43" s="74"/>
      <c r="AEV43" s="33"/>
      <c r="AEW43" s="33"/>
      <c r="AEX43" s="33"/>
      <c r="AEY43" s="33"/>
      <c r="AEZ43" s="33"/>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33"/>
      <c r="AGW43" s="137"/>
      <c r="AGX43" s="33"/>
      <c r="AGY43" s="33"/>
      <c r="AGZ43" s="33"/>
      <c r="AHA43" s="33"/>
      <c r="AHB43" s="33"/>
      <c r="AHC43" s="74"/>
      <c r="AHD43" s="33"/>
      <c r="AHE43" s="33"/>
      <c r="AHF43" s="33"/>
      <c r="AHG43" s="33"/>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32"/>
      <c r="AMM43" s="64"/>
      <c r="AMN43" s="64"/>
      <c r="AMO43" s="64"/>
      <c r="AMP43" s="33"/>
      <c r="AMQ43" s="132"/>
      <c r="AMR43" s="33"/>
      <c r="AMS43" s="33"/>
      <c r="AMT43" s="33"/>
      <c r="AMU43" s="33"/>
      <c r="AMV43" s="33"/>
      <c r="AMW43" s="137"/>
      <c r="AMX43" s="33"/>
      <c r="AMY43" s="33"/>
      <c r="AMZ43" s="33"/>
      <c r="ANA43" s="33"/>
      <c r="ANB43" s="33"/>
      <c r="ANC43" s="74"/>
      <c r="AND43" s="33"/>
      <c r="ANE43" s="33"/>
      <c r="ANF43" s="33"/>
      <c r="ANG43" s="33"/>
      <c r="ANH43" s="33"/>
      <c r="ANI43" s="137"/>
      <c r="ANJ43" s="33"/>
      <c r="ANK43" s="33"/>
      <c r="ANL43" s="33"/>
      <c r="ANM43" s="33"/>
      <c r="ANN43" s="33"/>
      <c r="ANO43" s="74"/>
      <c r="ANP43" s="64"/>
      <c r="ANQ43" s="64"/>
      <c r="ANR43" s="64"/>
      <c r="ANS43" s="64"/>
      <c r="ANT43" s="33"/>
      <c r="ANU43" s="137"/>
      <c r="ANV43" s="33"/>
      <c r="ANW43" s="33"/>
      <c r="ANX43" s="33"/>
      <c r="ANY43" s="33"/>
      <c r="ANZ43" s="33"/>
      <c r="AOA43" s="74"/>
      <c r="AOB43" s="33"/>
      <c r="AOC43" s="33"/>
      <c r="AOD43" s="33"/>
      <c r="AOE43" s="33"/>
      <c r="AOF43" s="33"/>
      <c r="AOG43" s="137"/>
      <c r="AOH43" s="33"/>
      <c r="AOI43" s="33"/>
      <c r="AOJ43" s="33"/>
      <c r="AOK43" s="33"/>
      <c r="AOL43" s="33"/>
      <c r="AOM43" s="74"/>
      <c r="AON43" s="33"/>
      <c r="AOO43" s="33"/>
      <c r="AOP43" s="33"/>
      <c r="AOQ43" s="33"/>
      <c r="AOR43" s="33"/>
      <c r="AOS43" s="34"/>
      <c r="AOT43" s="32"/>
      <c r="AOU43" s="64"/>
      <c r="AOV43" s="64"/>
      <c r="AOW43" s="64"/>
      <c r="AOX43" s="33"/>
      <c r="AOY43" s="132"/>
      <c r="AOZ43" s="33"/>
      <c r="APA43" s="33"/>
      <c r="APB43" s="33"/>
      <c r="APC43" s="33"/>
      <c r="APD43" s="33"/>
      <c r="APE43" s="137"/>
      <c r="APF43" s="33"/>
      <c r="APG43" s="33"/>
      <c r="APH43" s="33"/>
      <c r="API43" s="33"/>
      <c r="APJ43" s="33"/>
      <c r="APK43" s="74"/>
      <c r="APL43" s="33"/>
      <c r="APM43" s="33"/>
      <c r="APN43" s="33"/>
      <c r="APO43" s="33"/>
      <c r="APP43" s="33"/>
      <c r="APQ43" s="137"/>
      <c r="APR43" s="33"/>
      <c r="APS43" s="33"/>
      <c r="APT43" s="33"/>
      <c r="APU43" s="33"/>
      <c r="APV43" s="33"/>
      <c r="APW43" s="74"/>
      <c r="APX43" s="64"/>
      <c r="APY43" s="64"/>
      <c r="APZ43" s="64"/>
      <c r="AQA43" s="64"/>
      <c r="AQB43" s="33"/>
      <c r="AQC43" s="137"/>
      <c r="AQD43" s="33"/>
      <c r="AQE43" s="33"/>
      <c r="AQF43" s="33"/>
      <c r="AQG43" s="33"/>
      <c r="AQH43" s="33"/>
      <c r="AQI43" s="74"/>
      <c r="AQJ43" s="33"/>
      <c r="AQK43" s="33"/>
      <c r="AQL43" s="33"/>
      <c r="AQM43" s="33"/>
      <c r="AQN43" s="33"/>
      <c r="AQO43" s="137"/>
      <c r="AQP43" s="33"/>
      <c r="AQQ43" s="33"/>
      <c r="AQR43" s="33"/>
      <c r="AQS43" s="33"/>
      <c r="AQT43" s="33"/>
      <c r="AQU43" s="74"/>
      <c r="AQV43" s="33"/>
      <c r="AQW43" s="33"/>
      <c r="AQX43" s="33"/>
      <c r="AQY43" s="33"/>
      <c r="AQZ43" s="33"/>
      <c r="ARA43" s="34"/>
      <c r="ARB43" s="165"/>
      <c r="ARC43" s="166"/>
      <c r="ARD43" s="166"/>
      <c r="ARE43" s="166"/>
      <c r="ARF43" s="167"/>
      <c r="ARG43" s="168"/>
      <c r="ARH43" s="167"/>
      <c r="ARI43" s="33"/>
      <c r="ARJ43" s="33"/>
      <c r="ARK43" s="33"/>
      <c r="ARL43" s="33"/>
      <c r="ARM43" s="137"/>
      <c r="ARN43" s="33"/>
      <c r="ARO43" s="33"/>
      <c r="ARP43" s="33"/>
      <c r="ARQ43" s="33"/>
      <c r="ARR43" s="167"/>
      <c r="ARS43" s="182"/>
      <c r="ART43" s="167"/>
      <c r="ARU43" s="167"/>
      <c r="ARV43" s="167"/>
      <c r="ARW43" s="167"/>
      <c r="ARX43" s="167"/>
      <c r="ARY43" s="181"/>
      <c r="ARZ43" s="167"/>
      <c r="ASA43" s="167"/>
      <c r="ASB43" s="167"/>
      <c r="ASC43" s="167"/>
      <c r="ASD43" s="33"/>
      <c r="ASE43" s="74"/>
      <c r="ASF43" s="64"/>
      <c r="ASG43" s="64"/>
      <c r="ASH43" s="64"/>
      <c r="ASI43" s="64"/>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165"/>
      <c r="ATK43" s="166"/>
      <c r="ATL43" s="166"/>
      <c r="ATM43" s="166"/>
      <c r="ATN43" s="167"/>
      <c r="ATO43" s="168"/>
      <c r="ATP43" s="167"/>
      <c r="ATQ43" s="167"/>
      <c r="ATR43" s="167"/>
      <c r="ATS43" s="167"/>
      <c r="ATT43" s="167"/>
      <c r="ATU43" s="181"/>
      <c r="ATV43" s="33"/>
      <c r="ATW43" s="33"/>
      <c r="ATX43" s="33"/>
      <c r="ATY43" s="33"/>
      <c r="ATZ43" s="33"/>
      <c r="AUA43" s="74"/>
      <c r="AUB43" s="33"/>
      <c r="AUC43" s="33"/>
      <c r="AUD43" s="33"/>
      <c r="AUE43" s="167"/>
      <c r="AUF43" s="167"/>
      <c r="AUG43" s="181"/>
      <c r="AUH43" s="167"/>
      <c r="AUI43" s="167"/>
      <c r="AUJ43" s="167"/>
      <c r="AUK43" s="167"/>
      <c r="AUL43" s="167"/>
      <c r="AUM43" s="182"/>
      <c r="AUN43" s="166"/>
      <c r="AUO43" s="166"/>
      <c r="AUP43" s="166"/>
      <c r="AUQ43" s="166"/>
      <c r="AUR43" s="167"/>
      <c r="AUS43" s="181"/>
      <c r="AUT43" s="167"/>
      <c r="AUU43" s="167"/>
      <c r="AUV43" s="167"/>
      <c r="AUW43" s="167"/>
      <c r="AUX43" s="167"/>
      <c r="AUY43" s="182"/>
      <c r="AUZ43" s="167"/>
      <c r="AVA43" s="167"/>
      <c r="AVB43" s="167"/>
      <c r="AVC43" s="167"/>
      <c r="AVD43" s="167"/>
      <c r="AVE43" s="181"/>
      <c r="AVF43" s="33"/>
      <c r="AVG43" s="33"/>
      <c r="AVH43" s="33"/>
      <c r="AVI43" s="33"/>
      <c r="AVJ43" s="33"/>
      <c r="AVK43" s="74"/>
      <c r="AVL43" s="33"/>
      <c r="AVM43" s="33"/>
      <c r="AVN43" s="33"/>
      <c r="AVO43" s="33"/>
      <c r="AVP43" s="33"/>
      <c r="AVQ43" s="34"/>
      <c r="AVR43" s="165"/>
      <c r="AVS43" s="166"/>
      <c r="AVT43" s="166"/>
      <c r="AVU43" s="166"/>
      <c r="AVV43" s="167"/>
      <c r="AVW43" s="168"/>
      <c r="AVX43" s="167"/>
      <c r="AVY43" s="167"/>
      <c r="AVZ43" s="167"/>
      <c r="AWA43" s="167"/>
      <c r="AWB43" s="167"/>
      <c r="AWC43" s="181"/>
      <c r="AWD43" s="167"/>
      <c r="AWE43" s="167"/>
      <c r="AWF43" s="167"/>
      <c r="AWG43" s="167"/>
      <c r="AWH43" s="167"/>
      <c r="AWI43" s="182"/>
      <c r="AWJ43" s="167"/>
      <c r="AWK43" s="167"/>
      <c r="AWL43" s="167"/>
      <c r="AWM43" s="167"/>
      <c r="AWN43" s="167"/>
      <c r="AWO43" s="181"/>
      <c r="AWP43" s="167"/>
      <c r="AWQ43" s="167"/>
      <c r="AWR43" s="167"/>
      <c r="AWS43" s="167"/>
      <c r="AWT43" s="167"/>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33"/>
      <c r="AZA43" s="33"/>
      <c r="AZB43" s="33"/>
      <c r="AZC43" s="74"/>
      <c r="AZD43" s="64"/>
      <c r="AZE43" s="64"/>
      <c r="AZF43" s="64"/>
      <c r="AZG43" s="64"/>
      <c r="AZH43" s="33"/>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32"/>
      <c r="BAI43" s="64"/>
      <c r="BAJ43" s="64"/>
      <c r="BAK43" s="64"/>
      <c r="BAL43" s="33"/>
      <c r="BAM43" s="132"/>
      <c r="BAN43" s="33"/>
      <c r="BAO43" s="33"/>
      <c r="BAP43" s="33"/>
      <c r="BAQ43" s="33"/>
      <c r="BAR43" s="33"/>
      <c r="BAS43" s="137"/>
      <c r="BAT43" s="33"/>
      <c r="BAU43" s="33"/>
      <c r="BAV43" s="33"/>
      <c r="BAW43" s="33"/>
      <c r="BAX43" s="33"/>
      <c r="BAY43" s="74"/>
      <c r="BAZ43" s="33"/>
      <c r="BBA43" s="33"/>
      <c r="BBB43" s="33"/>
      <c r="BBC43" s="33"/>
      <c r="BBD43" s="33"/>
      <c r="BBE43" s="137"/>
      <c r="BBF43" s="33"/>
      <c r="BBG43" s="33"/>
      <c r="BBH43" s="33"/>
      <c r="BBI43" s="33"/>
      <c r="BBJ43" s="33"/>
      <c r="BBK43" s="74"/>
      <c r="BBL43" s="64"/>
      <c r="BBM43" s="64"/>
      <c r="BBN43" s="64"/>
      <c r="BBO43" s="64"/>
      <c r="BBP43" s="33"/>
      <c r="BBQ43" s="137"/>
      <c r="BBR43" s="33"/>
      <c r="BBS43" s="33"/>
      <c r="BBT43" s="33"/>
      <c r="BBU43" s="33"/>
      <c r="BBV43" s="33"/>
      <c r="BBW43" s="74"/>
      <c r="BBX43" s="33"/>
      <c r="BBY43" s="33"/>
      <c r="BBZ43" s="33"/>
      <c r="BCA43" s="33"/>
      <c r="BCB43" s="33"/>
      <c r="BCC43" s="137"/>
      <c r="BCD43" s="33"/>
      <c r="BCE43" s="33"/>
      <c r="BCF43" s="33"/>
      <c r="BCG43" s="33"/>
      <c r="BCH43" s="33"/>
      <c r="BCI43" s="74"/>
      <c r="BCJ43" s="33"/>
      <c r="BCK43" s="33"/>
      <c r="BCL43" s="33"/>
      <c r="BCM43" s="33"/>
      <c r="BCN43" s="33"/>
      <c r="BCO43" s="34"/>
      <c r="BCP43" s="32"/>
      <c r="BCQ43" s="64"/>
      <c r="BCR43" s="64"/>
      <c r="BCS43" s="64"/>
      <c r="BCT43" s="33"/>
      <c r="BCU43" s="132"/>
      <c r="BCV43" s="33"/>
      <c r="BCW43" s="33"/>
      <c r="BCX43" s="33"/>
      <c r="BCY43" s="33"/>
      <c r="BCZ43" s="33"/>
      <c r="BDA43" s="137"/>
      <c r="BDB43" s="33"/>
      <c r="BDC43" s="33"/>
      <c r="BDD43" s="33"/>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32"/>
      <c r="BEY43" s="64"/>
      <c r="BEZ43" s="64"/>
      <c r="BFA43" s="64"/>
      <c r="BFB43" s="33"/>
      <c r="BFC43" s="132"/>
      <c r="BFD43" s="33"/>
      <c r="BFE43" s="33"/>
      <c r="BFF43" s="33"/>
      <c r="BFG43" s="33"/>
      <c r="BFH43" s="33"/>
      <c r="BFI43" s="137"/>
      <c r="BFJ43" s="33"/>
      <c r="BFK43" s="33"/>
      <c r="BFL43" s="33"/>
      <c r="BFM43" s="33"/>
      <c r="BFN43" s="33"/>
      <c r="BFO43" s="74"/>
      <c r="BFP43" s="33"/>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32"/>
      <c r="BHG43" s="64"/>
      <c r="BHH43" s="64"/>
      <c r="BHI43" s="64"/>
      <c r="BHJ43" s="33"/>
      <c r="BHK43" s="132"/>
      <c r="BHL43" s="33"/>
      <c r="BHM43" s="33"/>
      <c r="BHN43" s="33"/>
      <c r="BHO43" s="33"/>
      <c r="BHP43" s="33"/>
      <c r="BHQ43" s="137"/>
      <c r="BHR43" s="33"/>
      <c r="BHS43" s="33"/>
      <c r="BHT43" s="33"/>
      <c r="BHU43" s="167"/>
      <c r="BHV43" s="167"/>
      <c r="BHW43" s="182"/>
      <c r="BHX43" s="167"/>
      <c r="BHY43" s="167"/>
      <c r="BHZ43" s="167"/>
      <c r="BIA43" s="167"/>
      <c r="BIB43" s="167"/>
      <c r="BIC43" s="181"/>
      <c r="BID43" s="167"/>
      <c r="BIE43" s="167"/>
      <c r="BIF43" s="167"/>
      <c r="BIG43" s="167"/>
      <c r="BIH43" s="167"/>
      <c r="BII43" s="182"/>
      <c r="BIJ43" s="166"/>
      <c r="BIK43" s="166"/>
      <c r="BIL43" s="166"/>
      <c r="BIM43" s="166"/>
      <c r="BIN43" s="167"/>
      <c r="BIO43" s="181"/>
      <c r="BIP43" s="167"/>
      <c r="BIQ43" s="167"/>
      <c r="BIR43" s="33"/>
      <c r="BIS43" s="33"/>
      <c r="BIT43" s="33"/>
      <c r="BIU43" s="74"/>
      <c r="BIV43" s="33"/>
      <c r="BIW43" s="33"/>
      <c r="BIX43" s="33"/>
      <c r="BIY43" s="33"/>
      <c r="BIZ43" s="33"/>
      <c r="BJA43" s="137"/>
      <c r="BJB43" s="33"/>
      <c r="BJC43" s="33"/>
      <c r="BJD43" s="33"/>
      <c r="BJE43" s="33"/>
      <c r="BJF43" s="33"/>
      <c r="BJG43" s="74"/>
      <c r="BJH43" s="33"/>
      <c r="BJI43" s="33"/>
      <c r="BJJ43" s="33"/>
      <c r="BJK43" s="33"/>
      <c r="BJL43" s="33"/>
      <c r="BJM43" s="34"/>
      <c r="BJN43" s="32"/>
      <c r="BJO43" s="64"/>
      <c r="BJP43" s="64"/>
      <c r="BJQ43" s="64"/>
      <c r="BJR43" s="33"/>
      <c r="BJS43" s="132"/>
      <c r="BJT43" s="33"/>
      <c r="BJU43" s="33"/>
      <c r="BJV43" s="33"/>
      <c r="BJW43" s="33"/>
      <c r="BJX43" s="33"/>
      <c r="BJY43" s="137"/>
      <c r="BJZ43" s="33"/>
      <c r="BKA43" s="33"/>
      <c r="BKB43" s="33"/>
      <c r="BKC43" s="33"/>
      <c r="BKD43" s="33"/>
      <c r="BKE43" s="74"/>
      <c r="BKF43" s="33"/>
      <c r="BKG43" s="33"/>
      <c r="BKH43" s="33"/>
      <c r="BKI43" s="33"/>
      <c r="BKJ43" s="33"/>
      <c r="BKK43" s="137"/>
      <c r="BKL43" s="33"/>
      <c r="BKM43" s="33"/>
      <c r="BKN43" s="33"/>
      <c r="BKO43" s="33"/>
      <c r="BKP43" s="33"/>
      <c r="BKQ43" s="74"/>
      <c r="BKR43" s="64"/>
      <c r="BKS43" s="64"/>
      <c r="BKT43" s="64"/>
      <c r="BKU43" s="64"/>
      <c r="BKV43" s="33"/>
      <c r="BKW43" s="137"/>
      <c r="BKX43" s="33"/>
      <c r="BKY43" s="33"/>
      <c r="BKZ43" s="33"/>
      <c r="BLA43" s="33"/>
      <c r="BLB43" s="33"/>
      <c r="BLC43" s="74"/>
      <c r="BLD43" s="33"/>
      <c r="BLE43" s="33"/>
      <c r="BLF43" s="33"/>
      <c r="BLG43" s="33"/>
      <c r="BLH43" s="33"/>
      <c r="BLI43" s="137"/>
      <c r="BLJ43" s="33"/>
      <c r="BLK43" s="33"/>
      <c r="BLL43" s="33"/>
      <c r="BLM43" s="33"/>
      <c r="BLN43" s="33"/>
      <c r="BLO43" s="74"/>
      <c r="BLP43" s="33"/>
      <c r="BLQ43" s="33"/>
      <c r="BLR43" s="33"/>
      <c r="BLS43" s="33"/>
      <c r="BLT43" s="33"/>
      <c r="BLU43" s="34"/>
      <c r="BLV43" s="90"/>
    </row>
    <row r="44" spans="1:1686" ht="20.100000000000001" customHeight="1" x14ac:dyDescent="0.3">
      <c r="A44" s="100" t="s">
        <v>18</v>
      </c>
      <c r="B44" s="63" t="str">
        <f>IF(LEN(C73)=0,"",C73)</f>
        <v/>
      </c>
      <c r="C44" s="207"/>
      <c r="D44" s="148" t="str">
        <f t="shared" si="0"/>
        <v>0h</v>
      </c>
      <c r="E44" s="35">
        <v>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37"/>
      <c r="LO44" s="37"/>
      <c r="LP44" s="37"/>
      <c r="LQ44" s="138"/>
      <c r="LR44" s="37"/>
      <c r="LS44" s="37"/>
      <c r="LT44" s="37"/>
      <c r="LU44" s="37"/>
      <c r="LV44" s="37"/>
      <c r="LW44" s="75"/>
      <c r="LX44" s="65"/>
      <c r="LY44" s="65"/>
      <c r="LZ44" s="65"/>
      <c r="MA44" s="65"/>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37"/>
      <c r="QI44" s="37"/>
      <c r="QJ44" s="37"/>
      <c r="QK44" s="37"/>
      <c r="QL44" s="37"/>
      <c r="QM44" s="75"/>
      <c r="QN44" s="65"/>
      <c r="QO44" s="65"/>
      <c r="QP44" s="65"/>
      <c r="QQ44" s="65"/>
      <c r="QR44" s="37"/>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65"/>
      <c r="WL44" s="37"/>
      <c r="WM44" s="133"/>
      <c r="WN44" s="37"/>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65"/>
      <c r="ZU44" s="65"/>
      <c r="ZV44" s="65"/>
      <c r="ZW44" s="65"/>
      <c r="ZX44" s="37"/>
      <c r="ZY44" s="138"/>
      <c r="ZZ44" s="37"/>
      <c r="AAA44" s="37"/>
      <c r="AAB44" s="37"/>
      <c r="AAC44" s="37"/>
      <c r="AAD44" s="37"/>
      <c r="AAE44" s="75"/>
      <c r="AAF44" s="37"/>
      <c r="AAG44" s="37"/>
      <c r="AAH44" s="37"/>
      <c r="AAI44" s="37"/>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37"/>
      <c r="APB44" s="37"/>
      <c r="APC44" s="37"/>
      <c r="APD44" s="37"/>
      <c r="APE44" s="138"/>
      <c r="APF44" s="37"/>
      <c r="APG44" s="37"/>
      <c r="APH44" s="37"/>
      <c r="API44" s="37"/>
      <c r="APJ44" s="37"/>
      <c r="APK44" s="75"/>
      <c r="APL44" s="37"/>
      <c r="APM44" s="37"/>
      <c r="APN44" s="37"/>
      <c r="APO44" s="37"/>
      <c r="APP44" s="37"/>
      <c r="APQ44" s="138"/>
      <c r="APR44" s="37"/>
      <c r="APS44" s="37"/>
      <c r="APT44" s="37"/>
      <c r="APU44" s="37"/>
      <c r="APV44" s="37"/>
      <c r="APW44" s="75"/>
      <c r="APX44" s="65"/>
      <c r="APY44" s="65"/>
      <c r="APZ44" s="65"/>
      <c r="AQA44" s="65"/>
      <c r="AQB44" s="37"/>
      <c r="AQC44" s="13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36"/>
      <c r="ARC44" s="65"/>
      <c r="ARD44" s="65"/>
      <c r="ARE44" s="65"/>
      <c r="ARF44" s="37"/>
      <c r="ARG44" s="133"/>
      <c r="ARH44" s="37"/>
      <c r="ARI44" s="37"/>
      <c r="ARJ44" s="37"/>
      <c r="ARK44" s="37"/>
      <c r="ARL44" s="37"/>
      <c r="ARM44" s="138"/>
      <c r="ARN44" s="37"/>
      <c r="ARO44" s="37"/>
      <c r="ARP44" s="37"/>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36"/>
      <c r="BHG44" s="65"/>
      <c r="BHH44" s="65"/>
      <c r="BHI44" s="65"/>
      <c r="BHJ44" s="37"/>
      <c r="BHK44" s="133"/>
      <c r="BHL44" s="37"/>
      <c r="BHM44" s="37"/>
      <c r="BHN44" s="37"/>
      <c r="BHO44" s="37"/>
      <c r="BHP44" s="37"/>
      <c r="BHQ44" s="138"/>
      <c r="BHR44" s="37"/>
      <c r="BHS44" s="37"/>
      <c r="BHT44" s="37"/>
      <c r="BHU44" s="37"/>
      <c r="BHV44" s="37"/>
      <c r="BHW44" s="75"/>
      <c r="BHX44" s="37"/>
      <c r="BHY44" s="37"/>
      <c r="BHZ44" s="37"/>
      <c r="BIA44" s="37"/>
      <c r="BIB44" s="37"/>
      <c r="BIC44" s="138"/>
      <c r="BID44" s="37"/>
      <c r="BIE44" s="37"/>
      <c r="BIF44" s="37"/>
      <c r="BIG44" s="37"/>
      <c r="BIH44" s="37"/>
      <c r="BII44" s="75"/>
      <c r="BIJ44" s="65"/>
      <c r="BIK44" s="65"/>
      <c r="BIL44" s="65"/>
      <c r="BIM44" s="65"/>
      <c r="BIN44" s="37"/>
      <c r="BIO44" s="138"/>
      <c r="BIP44" s="37"/>
      <c r="BIQ44" s="37"/>
      <c r="BIR44" s="37"/>
      <c r="BIS44" s="37"/>
      <c r="BIT44" s="37"/>
      <c r="BIU44" s="75"/>
      <c r="BIV44" s="37"/>
      <c r="BIW44" s="37"/>
      <c r="BIX44" s="37"/>
      <c r="BIY44" s="37"/>
      <c r="BIZ44" s="37"/>
      <c r="BJA44" s="138"/>
      <c r="BJB44" s="37"/>
      <c r="BJC44" s="37"/>
      <c r="BJD44" s="37"/>
      <c r="BJE44" s="37"/>
      <c r="BJF44" s="37"/>
      <c r="BJG44" s="75"/>
      <c r="BJH44" s="37"/>
      <c r="BJI44" s="37"/>
      <c r="BJJ44" s="37"/>
      <c r="BJK44" s="37"/>
      <c r="BJL44" s="37"/>
      <c r="BJM44" s="38"/>
      <c r="BJN44" s="36"/>
      <c r="BJO44" s="65"/>
      <c r="BJP44" s="65"/>
      <c r="BJQ44" s="65"/>
      <c r="BJR44" s="37"/>
      <c r="BJS44" s="133"/>
      <c r="BJT44" s="37"/>
      <c r="BJU44" s="37"/>
      <c r="BJV44" s="37"/>
      <c r="BJW44" s="37"/>
      <c r="BJX44" s="37"/>
      <c r="BJY44" s="138"/>
      <c r="BJZ44" s="37"/>
      <c r="BKA44" s="37"/>
      <c r="BKB44" s="37"/>
      <c r="BKC44" s="37"/>
      <c r="BKD44" s="37"/>
      <c r="BKE44" s="75"/>
      <c r="BKF44" s="37"/>
      <c r="BKG44" s="37"/>
      <c r="BKH44" s="37"/>
      <c r="BKI44" s="37"/>
      <c r="BKJ44" s="37"/>
      <c r="BKK44" s="138"/>
      <c r="BKL44" s="37"/>
      <c r="BKM44" s="37"/>
      <c r="BKN44" s="37"/>
      <c r="BKO44" s="37"/>
      <c r="BKP44" s="37"/>
      <c r="BKQ44" s="75"/>
      <c r="BKR44" s="65"/>
      <c r="BKS44" s="65"/>
      <c r="BKT44" s="65"/>
      <c r="BKU44" s="65"/>
      <c r="BKV44" s="37"/>
      <c r="BKW44" s="138"/>
      <c r="BKX44" s="37"/>
      <c r="BKY44" s="37"/>
      <c r="BKZ44" s="37"/>
      <c r="BLA44" s="37"/>
      <c r="BLB44" s="37"/>
      <c r="BLC44" s="75"/>
      <c r="BLD44" s="37"/>
      <c r="BLE44" s="37"/>
      <c r="BLF44" s="37"/>
      <c r="BLG44" s="37"/>
      <c r="BLH44" s="37"/>
      <c r="BLI44" s="138"/>
      <c r="BLJ44" s="37"/>
      <c r="BLK44" s="37"/>
      <c r="BLL44" s="37"/>
      <c r="BLM44" s="37"/>
      <c r="BLN44" s="37"/>
      <c r="BLO44" s="75"/>
      <c r="BLP44" s="37"/>
      <c r="BLQ44" s="37"/>
      <c r="BLR44" s="37"/>
      <c r="BLS44" s="37"/>
      <c r="BLT44" s="37"/>
      <c r="BLU44" s="38"/>
      <c r="BLV44" s="90"/>
    </row>
    <row r="45" spans="1:1686" ht="20.100000000000001" customHeight="1" x14ac:dyDescent="0.25">
      <c r="A45" s="100" t="s">
        <v>17</v>
      </c>
      <c r="B45" s="63" t="str">
        <f>IF(LEN(C75)=0,"",C75)</f>
        <v/>
      </c>
      <c r="C45" s="205" t="s">
        <v>152</v>
      </c>
      <c r="D45" s="146" t="str">
        <f t="shared" si="0"/>
        <v>10h25min</v>
      </c>
      <c r="E45" s="39">
        <v>125</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40"/>
      <c r="KU45" s="66"/>
      <c r="KV45" s="66"/>
      <c r="KW45" s="66"/>
      <c r="KX45" s="41"/>
      <c r="KY45" s="134"/>
      <c r="KZ45" s="41"/>
      <c r="LA45" s="41"/>
      <c r="LB45" s="41"/>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40"/>
      <c r="NC45" s="66"/>
      <c r="ND45" s="66"/>
      <c r="NE45" s="66"/>
      <c r="NF45" s="41"/>
      <c r="NG45" s="134"/>
      <c r="NH45" s="41"/>
      <c r="NI45" s="41"/>
      <c r="NJ45" s="41"/>
      <c r="NK45" s="41"/>
      <c r="NL45" s="41"/>
      <c r="NM45" s="139"/>
      <c r="NN45" s="41"/>
      <c r="NO45" s="41"/>
      <c r="NP45" s="41"/>
      <c r="NQ45" s="41"/>
      <c r="NR45" s="41"/>
      <c r="NS45" s="76"/>
      <c r="NT45" s="41"/>
      <c r="NU45" s="41"/>
      <c r="NV45" s="41"/>
      <c r="NW45" s="41"/>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40"/>
      <c r="PK45" s="66"/>
      <c r="PL45" s="66"/>
      <c r="PM45" s="66"/>
      <c r="PN45" s="41"/>
      <c r="PO45" s="134"/>
      <c r="PP45" s="41"/>
      <c r="PQ45" s="41"/>
      <c r="PR45" s="41"/>
      <c r="PS45" s="41"/>
      <c r="PT45" s="41"/>
      <c r="PU45" s="139"/>
      <c r="PV45" s="41"/>
      <c r="PW45" s="41"/>
      <c r="PX45" s="41"/>
      <c r="PY45" s="41"/>
      <c r="PZ45" s="41"/>
      <c r="QA45" s="76"/>
      <c r="QB45" s="41"/>
      <c r="QC45" s="41"/>
      <c r="QD45" s="41"/>
      <c r="QE45" s="41"/>
      <c r="QF45" s="41"/>
      <c r="QG45" s="139"/>
      <c r="QH45" s="41"/>
      <c r="QI45" s="41"/>
      <c r="QJ45" s="41"/>
      <c r="QK45" s="41"/>
      <c r="QL45" s="41"/>
      <c r="QM45" s="76"/>
      <c r="QN45" s="66"/>
      <c r="QO45" s="66"/>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41"/>
      <c r="ZJ45" s="41"/>
      <c r="ZK45" s="41"/>
      <c r="ZL45" s="41"/>
      <c r="ZM45" s="139"/>
      <c r="ZN45" s="41"/>
      <c r="ZO45" s="41"/>
      <c r="ZP45" s="41"/>
      <c r="ZQ45" s="41"/>
      <c r="ZR45" s="41"/>
      <c r="ZS45" s="76"/>
      <c r="ZT45" s="66"/>
      <c r="ZU45" s="66"/>
      <c r="ZV45" s="66"/>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177"/>
      <c r="ABQ45" s="177"/>
      <c r="ABR45" s="177"/>
      <c r="ABS45" s="177"/>
      <c r="ABT45" s="177"/>
      <c r="ABU45" s="17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40"/>
      <c r="ADG45" s="66"/>
      <c r="ADH45" s="66"/>
      <c r="ADI45" s="66"/>
      <c r="ADJ45" s="41"/>
      <c r="ADK45" s="134"/>
      <c r="ADL45" s="41"/>
      <c r="ADM45" s="41"/>
      <c r="ADN45" s="41"/>
      <c r="ADO45" s="41"/>
      <c r="ADP45" s="41"/>
      <c r="ADQ45" s="139"/>
      <c r="ADR45" s="41"/>
      <c r="ADS45" s="41"/>
      <c r="ADT45" s="41"/>
      <c r="ADU45" s="41"/>
      <c r="ADV45" s="41"/>
      <c r="ADW45" s="76"/>
      <c r="ADX45" s="177"/>
      <c r="ADY45" s="177"/>
      <c r="ADZ45" s="177"/>
      <c r="AEA45" s="177"/>
      <c r="AEB45" s="177"/>
      <c r="AEC45" s="179"/>
      <c r="AED45" s="177"/>
      <c r="AEE45" s="177"/>
      <c r="AEF45" s="177"/>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177"/>
      <c r="AKZ45" s="177"/>
      <c r="ALA45" s="179"/>
      <c r="ALB45" s="177"/>
      <c r="ALC45" s="177"/>
      <c r="ALD45" s="177"/>
      <c r="ALE45" s="177"/>
      <c r="ALF45" s="177"/>
      <c r="ALG45" s="180"/>
      <c r="ALH45" s="176"/>
      <c r="ALI45" s="176"/>
      <c r="ALJ45" s="176"/>
      <c r="ALK45" s="176"/>
      <c r="ALL45" s="177"/>
      <c r="ALM45" s="179"/>
      <c r="ALN45" s="177"/>
      <c r="ALO45" s="177"/>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177"/>
      <c r="APS45" s="177"/>
      <c r="APT45" s="177"/>
      <c r="APU45" s="177"/>
      <c r="APV45" s="177"/>
      <c r="APW45" s="180"/>
      <c r="APX45" s="176"/>
      <c r="APY45" s="17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41"/>
      <c r="AWQ45" s="41"/>
      <c r="AWR45" s="41"/>
      <c r="AWS45" s="41"/>
      <c r="AWT45" s="41"/>
      <c r="AWU45" s="76"/>
      <c r="AWV45" s="66"/>
      <c r="AWW45" s="66"/>
      <c r="AWX45" s="66"/>
      <c r="AWY45" s="66"/>
      <c r="AWZ45" s="41"/>
      <c r="AXA45" s="139"/>
      <c r="AXB45" s="41"/>
      <c r="AXC45" s="41"/>
      <c r="AXD45" s="41"/>
      <c r="AXE45" s="41"/>
      <c r="AXF45" s="41"/>
      <c r="AXG45" s="76"/>
      <c r="AXH45" s="41"/>
      <c r="AXI45" s="41"/>
      <c r="AXJ45" s="41"/>
      <c r="AXK45" s="41"/>
      <c r="AXL45" s="41"/>
      <c r="AXM45" s="139"/>
      <c r="AXN45" s="41"/>
      <c r="AXO45" s="41"/>
      <c r="AXP45" s="41"/>
      <c r="AXQ45" s="41"/>
      <c r="AXR45" s="41"/>
      <c r="AXS45" s="76"/>
      <c r="AXT45" s="41"/>
      <c r="AXU45" s="41"/>
      <c r="AXV45" s="41"/>
      <c r="AXW45" s="41"/>
      <c r="AXX45" s="41"/>
      <c r="AXY45" s="42"/>
      <c r="AXZ45" s="40"/>
      <c r="AYA45" s="66"/>
      <c r="AYB45" s="66"/>
      <c r="AYC45" s="66"/>
      <c r="AYD45" s="41"/>
      <c r="AYE45" s="134"/>
      <c r="AYF45" s="41"/>
      <c r="AYG45" s="41"/>
      <c r="AYH45" s="41"/>
      <c r="AYI45" s="41"/>
      <c r="AYJ45" s="41"/>
      <c r="AYK45" s="139"/>
      <c r="AYL45" s="41"/>
      <c r="AYM45" s="41"/>
      <c r="AYN45" s="41"/>
      <c r="AYO45" s="41"/>
      <c r="AYP45" s="41"/>
      <c r="AYQ45" s="76"/>
      <c r="AYR45" s="41"/>
      <c r="AYS45" s="41"/>
      <c r="AYT45" s="41"/>
      <c r="AYU45" s="177"/>
      <c r="AYV45" s="177"/>
      <c r="AYW45" s="179"/>
      <c r="AYX45" s="177"/>
      <c r="AYY45" s="177"/>
      <c r="AYZ45" s="177"/>
      <c r="AZA45" s="177"/>
      <c r="AZB45" s="177"/>
      <c r="AZC45" s="180"/>
      <c r="AZD45" s="176"/>
      <c r="AZE45" s="176"/>
      <c r="AZF45" s="176"/>
      <c r="AZG45" s="176"/>
      <c r="AZH45" s="177"/>
      <c r="AZI45" s="179"/>
      <c r="AZJ45" s="177"/>
      <c r="AZK45" s="177"/>
      <c r="AZL45" s="177"/>
      <c r="AZM45" s="177"/>
      <c r="AZN45" s="177"/>
      <c r="AZO45" s="180"/>
      <c r="AZP45" s="177"/>
      <c r="AZQ45" s="177"/>
      <c r="AZR45" s="177"/>
      <c r="AZS45" s="177"/>
      <c r="AZT45" s="177"/>
      <c r="AZU45" s="179"/>
      <c r="AZV45" s="41"/>
      <c r="AZW45" s="41"/>
      <c r="AZX45" s="41"/>
      <c r="AZY45" s="41"/>
      <c r="AZZ45" s="41"/>
      <c r="BAA45" s="76"/>
      <c r="BAB45" s="41"/>
      <c r="BAC45" s="41"/>
      <c r="BAD45" s="41"/>
      <c r="BAE45" s="41"/>
      <c r="BAF45" s="41"/>
      <c r="BAG45" s="42"/>
      <c r="BAH45" s="175"/>
      <c r="BAI45" s="176"/>
      <c r="BAJ45" s="176"/>
      <c r="BAK45" s="176"/>
      <c r="BAL45" s="177"/>
      <c r="BAM45" s="178"/>
      <c r="BAN45" s="177"/>
      <c r="BAO45" s="177"/>
      <c r="BAP45" s="177"/>
      <c r="BAQ45" s="177"/>
      <c r="BAR45" s="177"/>
      <c r="BAS45" s="179"/>
      <c r="BAT45" s="177"/>
      <c r="BAU45" s="177"/>
      <c r="BAV45" s="177"/>
      <c r="BAW45" s="177"/>
      <c r="BAX45" s="177"/>
      <c r="BAY45" s="180"/>
      <c r="BAZ45" s="177"/>
      <c r="BBA45" s="177"/>
      <c r="BBB45" s="177"/>
      <c r="BBC45" s="177"/>
      <c r="BBD45" s="177"/>
      <c r="BBE45" s="179"/>
      <c r="BBF45" s="177"/>
      <c r="BBG45" s="177"/>
      <c r="BBH45" s="177"/>
      <c r="BBI45" s="177"/>
      <c r="BBJ45" s="177"/>
      <c r="BBK45" s="76"/>
      <c r="BBL45" s="66"/>
      <c r="BBM45" s="66"/>
      <c r="BBN45" s="66"/>
      <c r="BBO45" s="66"/>
      <c r="BBP45" s="41"/>
      <c r="BBQ45" s="139"/>
      <c r="BBR45" s="41"/>
      <c r="BBS45" s="41"/>
      <c r="BBT45" s="41"/>
      <c r="BBU45" s="41"/>
      <c r="BBV45" s="41"/>
      <c r="BBW45" s="76"/>
      <c r="BBX45" s="41"/>
      <c r="BBY45" s="41"/>
      <c r="BBZ45" s="41"/>
      <c r="BCA45" s="41"/>
      <c r="BCB45" s="41"/>
      <c r="BCC45" s="139"/>
      <c r="BCD45" s="41"/>
      <c r="BCE45" s="41"/>
      <c r="BCF45" s="41"/>
      <c r="BCG45" s="41"/>
      <c r="BCH45" s="41"/>
      <c r="BCI45" s="76"/>
      <c r="BCJ45" s="41"/>
      <c r="BCK45" s="41"/>
      <c r="BCL45" s="41"/>
      <c r="BCM45" s="41"/>
      <c r="BCN45" s="41"/>
      <c r="BCO45" s="42"/>
      <c r="BCP45" s="175"/>
      <c r="BCQ45" s="176"/>
      <c r="BCR45" s="176"/>
      <c r="BCS45" s="176"/>
      <c r="BCT45" s="177"/>
      <c r="BCU45" s="178"/>
      <c r="BCV45" s="177"/>
      <c r="BCW45" s="177"/>
      <c r="BCX45" s="177"/>
      <c r="BCY45" s="41"/>
      <c r="BCZ45" s="41"/>
      <c r="BDA45" s="139"/>
      <c r="BDB45" s="41"/>
      <c r="BDC45" s="41"/>
      <c r="BDD45" s="41"/>
      <c r="BDE45" s="41"/>
      <c r="BDF45" s="41"/>
      <c r="BDG45" s="76"/>
      <c r="BDH45" s="177"/>
      <c r="BDI45" s="177"/>
      <c r="BDJ45" s="177"/>
      <c r="BDK45" s="177"/>
      <c r="BDL45" s="177"/>
      <c r="BDM45" s="179"/>
      <c r="BDN45" s="177"/>
      <c r="BDO45" s="177"/>
      <c r="BDP45" s="177"/>
      <c r="BDQ45" s="177"/>
      <c r="BDR45" s="177"/>
      <c r="BDS45" s="180"/>
      <c r="BDT45" s="176"/>
      <c r="BDU45" s="176"/>
      <c r="BDV45" s="176"/>
      <c r="BDW45" s="176"/>
      <c r="BDX45" s="177"/>
      <c r="BDY45" s="179"/>
      <c r="BDZ45" s="177"/>
      <c r="BEA45" s="177"/>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40"/>
      <c r="BEY45" s="66"/>
      <c r="BEZ45" s="66"/>
      <c r="BFA45" s="66"/>
      <c r="BFB45" s="41"/>
      <c r="BFC45" s="134"/>
      <c r="BFD45" s="41"/>
      <c r="BFE45" s="41"/>
      <c r="BFF45" s="41"/>
      <c r="BFG45" s="41"/>
      <c r="BFH45" s="41"/>
      <c r="BFI45" s="139"/>
      <c r="BFJ45" s="41"/>
      <c r="BFK45" s="41"/>
      <c r="BFL45" s="41"/>
      <c r="BFM45" s="41"/>
      <c r="BFN45" s="41"/>
      <c r="BFO45" s="76"/>
      <c r="BFP45" s="41"/>
      <c r="BFQ45" s="41"/>
      <c r="BFR45" s="41"/>
      <c r="BFS45" s="41"/>
      <c r="BFT45" s="41"/>
      <c r="BFU45" s="139"/>
      <c r="BFV45" s="41"/>
      <c r="BFW45" s="41"/>
      <c r="BFX45" s="41"/>
      <c r="BFY45" s="41"/>
      <c r="BFZ45" s="41"/>
      <c r="BGA45" s="76"/>
      <c r="BGB45" s="66"/>
      <c r="BGC45" s="66"/>
      <c r="BGD45" s="66"/>
      <c r="BGE45" s="66"/>
      <c r="BGF45" s="41"/>
      <c r="BGG45" s="139"/>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40"/>
      <c r="BHG45" s="66"/>
      <c r="BHH45" s="66"/>
      <c r="BHI45" s="66"/>
      <c r="BHJ45" s="41"/>
      <c r="BHK45" s="134"/>
      <c r="BHL45" s="41"/>
      <c r="BHM45" s="41"/>
      <c r="BHN45" s="41"/>
      <c r="BHO45" s="41"/>
      <c r="BHP45" s="41"/>
      <c r="BHQ45" s="139"/>
      <c r="BHR45" s="41"/>
      <c r="BHS45" s="41"/>
      <c r="BHT45" s="41"/>
      <c r="BHU45" s="41"/>
      <c r="BHV45" s="41"/>
      <c r="BHW45" s="76"/>
      <c r="BHX45" s="41"/>
      <c r="BHY45" s="41"/>
      <c r="BHZ45" s="41"/>
      <c r="BIA45" s="41"/>
      <c r="BIB45" s="41"/>
      <c r="BIC45" s="139"/>
      <c r="BID45" s="41"/>
      <c r="BIE45" s="41"/>
      <c r="BIF45" s="41"/>
      <c r="BIG45" s="41"/>
      <c r="BIH45" s="41"/>
      <c r="BII45" s="76"/>
      <c r="BIJ45" s="66"/>
      <c r="BIK45" s="66"/>
      <c r="BIL45" s="66"/>
      <c r="BIM45" s="66"/>
      <c r="BIN45" s="41"/>
      <c r="BIO45" s="139"/>
      <c r="BIP45" s="41"/>
      <c r="BIQ45" s="41"/>
      <c r="BIR45" s="41"/>
      <c r="BIS45" s="41"/>
      <c r="BIT45" s="41"/>
      <c r="BIU45" s="76"/>
      <c r="BIV45" s="41"/>
      <c r="BIW45" s="41"/>
      <c r="BIX45" s="41"/>
      <c r="BIY45" s="41"/>
      <c r="BIZ45" s="41"/>
      <c r="BJA45" s="139"/>
      <c r="BJB45" s="41"/>
      <c r="BJC45" s="41"/>
      <c r="BJD45" s="41"/>
      <c r="BJE45" s="41"/>
      <c r="BJF45" s="41"/>
      <c r="BJG45" s="76"/>
      <c r="BJH45" s="41"/>
      <c r="BJI45" s="41"/>
      <c r="BJJ45" s="41"/>
      <c r="BJK45" s="41"/>
      <c r="BJL45" s="41"/>
      <c r="BJM45" s="42"/>
      <c r="BJN45" s="40"/>
      <c r="BJO45" s="66"/>
      <c r="BJP45" s="66"/>
      <c r="BJQ45" s="66"/>
      <c r="BJR45" s="41"/>
      <c r="BJS45" s="134"/>
      <c r="BJT45" s="41"/>
      <c r="BJU45" s="41"/>
      <c r="BJV45" s="41"/>
      <c r="BJW45" s="41"/>
      <c r="BJX45" s="41"/>
      <c r="BJY45" s="139"/>
      <c r="BJZ45" s="41"/>
      <c r="BKA45" s="41"/>
      <c r="BKB45" s="41"/>
      <c r="BKC45" s="41"/>
      <c r="BKD45" s="41"/>
      <c r="BKE45" s="76"/>
      <c r="BKF45" s="41"/>
      <c r="BKG45" s="41"/>
      <c r="BKH45" s="41"/>
      <c r="BKI45" s="41"/>
      <c r="BKJ45" s="41"/>
      <c r="BKK45" s="139"/>
      <c r="BKL45" s="41"/>
      <c r="BKM45" s="41"/>
      <c r="BKN45" s="41"/>
      <c r="BKO45" s="41"/>
      <c r="BKP45" s="41"/>
      <c r="BKQ45" s="76"/>
      <c r="BKR45" s="66"/>
      <c r="BKS45" s="66"/>
      <c r="BKT45" s="66"/>
      <c r="BKU45" s="66"/>
      <c r="BKV45" s="41"/>
      <c r="BKW45" s="139"/>
      <c r="BKX45" s="41"/>
      <c r="BKY45" s="41"/>
      <c r="BKZ45" s="41"/>
      <c r="BLA45" s="41"/>
      <c r="BLB45" s="41"/>
      <c r="BLC45" s="76"/>
      <c r="BLD45" s="41"/>
      <c r="BLE45" s="41"/>
      <c r="BLF45" s="41"/>
      <c r="BLG45" s="41"/>
      <c r="BLH45" s="41"/>
      <c r="BLI45" s="139"/>
      <c r="BLJ45" s="41"/>
      <c r="BLK45" s="41"/>
      <c r="BLL45" s="41"/>
      <c r="BLM45" s="41"/>
      <c r="BLN45" s="41"/>
      <c r="BLO45" s="76"/>
      <c r="BLP45" s="41"/>
      <c r="BLQ45" s="41"/>
      <c r="BLR45" s="41"/>
      <c r="BLS45" s="41"/>
      <c r="BLT45" s="41"/>
      <c r="BLU45" s="42"/>
      <c r="BLV45" s="90"/>
    </row>
    <row r="46" spans="1:1686" ht="20.100000000000001" customHeight="1" x14ac:dyDescent="0.25">
      <c r="A46" s="100" t="s">
        <v>18</v>
      </c>
      <c r="B46" s="63" t="str">
        <f>IF(LEN(C77)=0,"",C77)</f>
        <v/>
      </c>
      <c r="C46" s="207"/>
      <c r="D46" s="147" t="str">
        <f t="shared" si="0"/>
        <v>0h</v>
      </c>
      <c r="E46" s="35">
        <v>0</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36"/>
      <c r="PK46" s="65"/>
      <c r="PL46" s="65"/>
      <c r="PM46" s="65"/>
      <c r="PN46" s="37"/>
      <c r="PO46" s="133"/>
      <c r="PP46" s="37"/>
      <c r="PQ46" s="37"/>
      <c r="PR46" s="37"/>
      <c r="PS46" s="37"/>
      <c r="PT46" s="37"/>
      <c r="PU46" s="138"/>
      <c r="PV46" s="37"/>
      <c r="PW46" s="37"/>
      <c r="PX46" s="37"/>
      <c r="PY46" s="37"/>
      <c r="PZ46" s="37"/>
      <c r="QA46" s="75"/>
      <c r="QB46" s="37"/>
      <c r="QC46" s="37"/>
      <c r="QD46" s="37"/>
      <c r="QE46" s="37"/>
      <c r="QF46" s="37"/>
      <c r="QG46" s="138"/>
      <c r="QH46" s="37"/>
      <c r="QI46" s="37"/>
      <c r="QJ46" s="37"/>
      <c r="QK46" s="37"/>
      <c r="QL46" s="37"/>
      <c r="QM46" s="75"/>
      <c r="QN46" s="65"/>
      <c r="QO46" s="65"/>
      <c r="QP46" s="65"/>
      <c r="QQ46" s="65"/>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37"/>
      <c r="ABH46" s="37"/>
      <c r="ABI46" s="138"/>
      <c r="ABJ46" s="37"/>
      <c r="ABK46" s="37"/>
      <c r="ABL46" s="37"/>
      <c r="ABM46" s="37"/>
      <c r="ABN46" s="37"/>
      <c r="ABO46" s="75"/>
      <c r="ABP46" s="37"/>
      <c r="ABQ46" s="37"/>
      <c r="ABR46" s="37"/>
      <c r="ABS46" s="37"/>
      <c r="ABT46" s="37"/>
      <c r="ABU46" s="138"/>
      <c r="ABV46" s="37"/>
      <c r="ABW46" s="37"/>
      <c r="ABX46" s="37"/>
      <c r="ABY46" s="37"/>
      <c r="ABZ46" s="37"/>
      <c r="ACA46" s="75"/>
      <c r="ACB46" s="65"/>
      <c r="ACC46" s="65"/>
      <c r="ACD46" s="6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37"/>
      <c r="AFY46" s="138"/>
      <c r="AFZ46" s="37"/>
      <c r="AGA46" s="37"/>
      <c r="AGB46" s="37"/>
      <c r="AGC46" s="37"/>
      <c r="AGD46" s="37"/>
      <c r="AGE46" s="75"/>
      <c r="AGF46" s="37"/>
      <c r="AGG46" s="37"/>
      <c r="AGH46" s="37"/>
      <c r="AGI46" s="37"/>
      <c r="AGJ46" s="37"/>
      <c r="AGK46" s="138"/>
      <c r="AGL46" s="37"/>
      <c r="AGM46" s="37"/>
      <c r="AGN46" s="37"/>
      <c r="AGO46" s="37"/>
      <c r="AGP46" s="37"/>
      <c r="AGQ46" s="75"/>
      <c r="AGR46" s="65"/>
      <c r="AGS46" s="65"/>
      <c r="AGT46" s="65"/>
      <c r="AGU46" s="65"/>
      <c r="AGV46" s="37"/>
      <c r="AGW46" s="138"/>
      <c r="AGX46" s="37"/>
      <c r="AGY46" s="37"/>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37"/>
      <c r="ALO46" s="37"/>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37"/>
      <c r="AMT46" s="37"/>
      <c r="AMU46" s="37"/>
      <c r="AMV46" s="37"/>
      <c r="AMW46" s="138"/>
      <c r="AMX46" s="37"/>
      <c r="AMY46" s="37"/>
      <c r="AMZ46" s="37"/>
      <c r="ANA46" s="37"/>
      <c r="ANB46" s="37"/>
      <c r="ANC46" s="75"/>
      <c r="AND46" s="37"/>
      <c r="ANE46" s="37"/>
      <c r="ANF46" s="37"/>
      <c r="ANG46" s="37"/>
      <c r="ANH46" s="37"/>
      <c r="ANI46" s="138"/>
      <c r="ANJ46" s="37"/>
      <c r="ANK46" s="37"/>
      <c r="ANL46" s="37"/>
      <c r="ANM46" s="37"/>
      <c r="ANN46" s="37"/>
      <c r="ANO46" s="75"/>
      <c r="ANP46" s="65"/>
      <c r="ANQ46" s="65"/>
      <c r="ANR46" s="65"/>
      <c r="ANS46" s="65"/>
      <c r="ANT46" s="37"/>
      <c r="ANU46" s="138"/>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36"/>
      <c r="ARC46" s="65"/>
      <c r="ARD46" s="65"/>
      <c r="ARE46" s="65"/>
      <c r="ARF46" s="37"/>
      <c r="ARG46" s="133"/>
      <c r="ARH46" s="37"/>
      <c r="ARI46" s="37"/>
      <c r="ARJ46" s="37"/>
      <c r="ARK46" s="37"/>
      <c r="ARL46" s="37"/>
      <c r="ARM46" s="138"/>
      <c r="ARN46" s="37"/>
      <c r="ARO46" s="37"/>
      <c r="ARP46" s="37"/>
      <c r="ARQ46" s="37"/>
      <c r="ARR46" s="37"/>
      <c r="ARS46" s="75"/>
      <c r="ART46" s="37"/>
      <c r="ARU46" s="37"/>
      <c r="ARV46" s="37"/>
      <c r="ARW46" s="37"/>
      <c r="ARX46" s="37"/>
      <c r="ARY46" s="138"/>
      <c r="ARZ46" s="37"/>
      <c r="ASA46" s="37"/>
      <c r="ASB46" s="37"/>
      <c r="ASC46" s="37"/>
      <c r="ASD46" s="37"/>
      <c r="ASE46" s="75"/>
      <c r="ASF46" s="65"/>
      <c r="ASG46" s="65"/>
      <c r="ASH46" s="65"/>
      <c r="ASI46" s="65"/>
      <c r="ASJ46" s="37"/>
      <c r="ASK46" s="138"/>
      <c r="ASL46" s="37"/>
      <c r="ASM46" s="37"/>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36"/>
      <c r="AVS46" s="65"/>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65"/>
      <c r="AZH46" s="37"/>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36"/>
      <c r="BEY46" s="65"/>
      <c r="BEZ46" s="65"/>
      <c r="BFA46" s="65"/>
      <c r="BFB46" s="37"/>
      <c r="BFC46" s="133"/>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36"/>
      <c r="BHG46" s="65"/>
      <c r="BHH46" s="65"/>
      <c r="BHI46" s="65"/>
      <c r="BHJ46" s="37"/>
      <c r="BHK46" s="133"/>
      <c r="BHL46" s="37"/>
      <c r="BHM46" s="37"/>
      <c r="BHN46" s="37"/>
      <c r="BHO46" s="37"/>
      <c r="BHP46" s="37"/>
      <c r="BHQ46" s="138"/>
      <c r="BHR46" s="37"/>
      <c r="BHS46" s="37"/>
      <c r="BHT46" s="37"/>
      <c r="BHU46" s="37"/>
      <c r="BHV46" s="37"/>
      <c r="BHW46" s="75"/>
      <c r="BHX46" s="37"/>
      <c r="BHY46" s="37"/>
      <c r="BHZ46" s="37"/>
      <c r="BIA46" s="37"/>
      <c r="BIB46" s="37"/>
      <c r="BIC46" s="138"/>
      <c r="BID46" s="37"/>
      <c r="BIE46" s="37"/>
      <c r="BIF46" s="37"/>
      <c r="BIG46" s="37"/>
      <c r="BIH46" s="37"/>
      <c r="BII46" s="75"/>
      <c r="BIJ46" s="65"/>
      <c r="BIK46" s="65"/>
      <c r="BIL46" s="65"/>
      <c r="BIM46" s="65"/>
      <c r="BIN46" s="37"/>
      <c r="BIO46" s="138"/>
      <c r="BIP46" s="37"/>
      <c r="BIQ46" s="37"/>
      <c r="BIR46" s="37"/>
      <c r="BIS46" s="37"/>
      <c r="BIT46" s="37"/>
      <c r="BIU46" s="75"/>
      <c r="BIV46" s="37"/>
      <c r="BIW46" s="37"/>
      <c r="BIX46" s="37"/>
      <c r="BIY46" s="37"/>
      <c r="BIZ46" s="37"/>
      <c r="BJA46" s="138"/>
      <c r="BJB46" s="37"/>
      <c r="BJC46" s="37"/>
      <c r="BJD46" s="37"/>
      <c r="BJE46" s="37"/>
      <c r="BJF46" s="37"/>
      <c r="BJG46" s="75"/>
      <c r="BJH46" s="37"/>
      <c r="BJI46" s="37"/>
      <c r="BJJ46" s="37"/>
      <c r="BJK46" s="37"/>
      <c r="BJL46" s="37"/>
      <c r="BJM46" s="38"/>
      <c r="BJN46" s="36"/>
      <c r="BJO46" s="65"/>
      <c r="BJP46" s="65"/>
      <c r="BJQ46" s="65"/>
      <c r="BJR46" s="37"/>
      <c r="BJS46" s="133"/>
      <c r="BJT46" s="37"/>
      <c r="BJU46" s="37"/>
      <c r="BJV46" s="37"/>
      <c r="BJW46" s="37"/>
      <c r="BJX46" s="37"/>
      <c r="BJY46" s="138"/>
      <c r="BJZ46" s="37"/>
      <c r="BKA46" s="37"/>
      <c r="BKB46" s="37"/>
      <c r="BKC46" s="37"/>
      <c r="BKD46" s="37"/>
      <c r="BKE46" s="75"/>
      <c r="BKF46" s="37"/>
      <c r="BKG46" s="37"/>
      <c r="BKH46" s="37"/>
      <c r="BKI46" s="37"/>
      <c r="BKJ46" s="37"/>
      <c r="BKK46" s="138"/>
      <c r="BKL46" s="37"/>
      <c r="BKM46" s="37"/>
      <c r="BKN46" s="37"/>
      <c r="BKO46" s="37"/>
      <c r="BKP46" s="37"/>
      <c r="BKQ46" s="75"/>
      <c r="BKR46" s="65"/>
      <c r="BKS46" s="65"/>
      <c r="BKT46" s="65"/>
      <c r="BKU46" s="65"/>
      <c r="BKV46" s="37"/>
      <c r="BKW46" s="138"/>
      <c r="BKX46" s="37"/>
      <c r="BKY46" s="37"/>
      <c r="BKZ46" s="37"/>
      <c r="BLA46" s="37"/>
      <c r="BLB46" s="37"/>
      <c r="BLC46" s="75"/>
      <c r="BLD46" s="37"/>
      <c r="BLE46" s="37"/>
      <c r="BLF46" s="37"/>
      <c r="BLG46" s="37"/>
      <c r="BLH46" s="37"/>
      <c r="BLI46" s="138"/>
      <c r="BLJ46" s="37"/>
      <c r="BLK46" s="37"/>
      <c r="BLL46" s="37"/>
      <c r="BLM46" s="37"/>
      <c r="BLN46" s="37"/>
      <c r="BLO46" s="75"/>
      <c r="BLP46" s="37"/>
      <c r="BLQ46" s="37"/>
      <c r="BLR46" s="37"/>
      <c r="BLS46" s="37"/>
      <c r="BLT46" s="37"/>
      <c r="BLU46" s="38"/>
      <c r="BLV46" s="90"/>
    </row>
    <row r="47" spans="1:1686" ht="20.100000000000001" customHeight="1" x14ac:dyDescent="0.25">
      <c r="A47" s="100" t="s">
        <v>17</v>
      </c>
      <c r="B47" s="63" t="str">
        <f>IF(LEN(C79)=0,"",C79)</f>
        <v/>
      </c>
      <c r="C47" s="205" t="s">
        <v>172</v>
      </c>
      <c r="D47" s="146" t="str">
        <f t="shared" si="0"/>
        <v>0h50min</v>
      </c>
      <c r="E47" s="39">
        <v>10</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7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41"/>
      <c r="LK47" s="76"/>
      <c r="LL47" s="41"/>
      <c r="LM47" s="41"/>
      <c r="LN47" s="41"/>
      <c r="LO47" s="41"/>
      <c r="LP47" s="41"/>
      <c r="LQ47" s="139"/>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40"/>
      <c r="YQ47" s="66"/>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175"/>
      <c r="ADG47" s="176"/>
      <c r="ADH47" s="176"/>
      <c r="ADI47" s="176"/>
      <c r="ADJ47" s="177"/>
      <c r="ADK47" s="178"/>
      <c r="ADL47" s="177"/>
      <c r="ADM47" s="177"/>
      <c r="ADN47" s="177"/>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34"/>
      <c r="AFT47" s="41"/>
      <c r="AFU47" s="41"/>
      <c r="AFV47" s="41"/>
      <c r="AFW47" s="41"/>
      <c r="AFX47" s="41"/>
      <c r="AFY47" s="139"/>
      <c r="AFZ47" s="41"/>
      <c r="AGA47" s="41"/>
      <c r="AGB47" s="41"/>
      <c r="AGC47" s="41"/>
      <c r="AGD47" s="41"/>
      <c r="AGE47" s="76"/>
      <c r="AGF47" s="41"/>
      <c r="AGG47" s="41"/>
      <c r="AGH47" s="41"/>
      <c r="AGI47" s="41"/>
      <c r="AGJ47" s="41"/>
      <c r="AGK47" s="139"/>
      <c r="AGL47" s="41"/>
      <c r="AGM47" s="41"/>
      <c r="AGN47" s="41"/>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40"/>
      <c r="ATK47" s="66"/>
      <c r="ATL47" s="66"/>
      <c r="ATM47" s="66"/>
      <c r="ATN47" s="41"/>
      <c r="ATO47" s="134"/>
      <c r="ATP47" s="41"/>
      <c r="ATQ47" s="41"/>
      <c r="ATR47" s="41"/>
      <c r="ATS47" s="41"/>
      <c r="ATT47" s="41"/>
      <c r="ATU47" s="139"/>
      <c r="ATV47" s="41"/>
      <c r="ATW47" s="41"/>
      <c r="ATX47" s="41"/>
      <c r="ATY47" s="41"/>
      <c r="ATZ47" s="41"/>
      <c r="AUA47" s="76"/>
      <c r="AUB47" s="41"/>
      <c r="AUC47" s="41"/>
      <c r="AUD47" s="41"/>
      <c r="AUE47" s="41"/>
      <c r="AUF47" s="41"/>
      <c r="AUG47" s="139"/>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41"/>
      <c r="AZI47" s="139"/>
      <c r="AZJ47" s="41"/>
      <c r="AZK47" s="41"/>
      <c r="AZL47" s="41"/>
      <c r="AZM47" s="41"/>
      <c r="AZN47" s="41"/>
      <c r="AZO47" s="76"/>
      <c r="AZP47" s="41"/>
      <c r="AZQ47" s="41"/>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40"/>
      <c r="BHG47" s="66"/>
      <c r="BHH47" s="66"/>
      <c r="BHI47" s="66"/>
      <c r="BHJ47" s="41"/>
      <c r="BHK47" s="134"/>
      <c r="BHL47" s="41"/>
      <c r="BHM47" s="41"/>
      <c r="BHN47" s="41"/>
      <c r="BHO47" s="41"/>
      <c r="BHP47" s="41"/>
      <c r="BHQ47" s="139"/>
      <c r="BHR47" s="41"/>
      <c r="BHS47" s="41"/>
      <c r="BHT47" s="41"/>
      <c r="BHU47" s="41"/>
      <c r="BHV47" s="41"/>
      <c r="BHW47" s="76"/>
      <c r="BHX47" s="41"/>
      <c r="BHY47" s="41"/>
      <c r="BHZ47" s="41"/>
      <c r="BIA47" s="41"/>
      <c r="BIB47" s="41"/>
      <c r="BIC47" s="139"/>
      <c r="BID47" s="41"/>
      <c r="BIE47" s="41"/>
      <c r="BIF47" s="41"/>
      <c r="BIG47" s="41"/>
      <c r="BIH47" s="41"/>
      <c r="BII47" s="76"/>
      <c r="BIJ47" s="66"/>
      <c r="BIK47" s="66"/>
      <c r="BIL47" s="66"/>
      <c r="BIM47" s="66"/>
      <c r="BIN47" s="41"/>
      <c r="BIO47" s="139"/>
      <c r="BIP47" s="41"/>
      <c r="BIQ47" s="41"/>
      <c r="BIR47" s="41"/>
      <c r="BIS47" s="41"/>
      <c r="BIT47" s="41"/>
      <c r="BIU47" s="76"/>
      <c r="BIV47" s="41"/>
      <c r="BIW47" s="41"/>
      <c r="BIX47" s="41"/>
      <c r="BIY47" s="41"/>
      <c r="BIZ47" s="41"/>
      <c r="BJA47" s="139"/>
      <c r="BJB47" s="41"/>
      <c r="BJC47" s="41"/>
      <c r="BJD47" s="41"/>
      <c r="BJE47" s="41"/>
      <c r="BJF47" s="41"/>
      <c r="BJG47" s="76"/>
      <c r="BJH47" s="41"/>
      <c r="BJI47" s="41"/>
      <c r="BJJ47" s="41"/>
      <c r="BJK47" s="41"/>
      <c r="BJL47" s="41"/>
      <c r="BJM47" s="42"/>
      <c r="BJN47" s="40"/>
      <c r="BJO47" s="66"/>
      <c r="BJP47" s="66"/>
      <c r="BJQ47" s="66"/>
      <c r="BJR47" s="41"/>
      <c r="BJS47" s="134"/>
      <c r="BJT47" s="41"/>
      <c r="BJU47" s="41"/>
      <c r="BJV47" s="41"/>
      <c r="BJW47" s="41"/>
      <c r="BJX47" s="41"/>
      <c r="BJY47" s="139"/>
      <c r="BJZ47" s="41"/>
      <c r="BKA47" s="41"/>
      <c r="BKB47" s="41"/>
      <c r="BKC47" s="41"/>
      <c r="BKD47" s="41"/>
      <c r="BKE47" s="76"/>
      <c r="BKF47" s="41"/>
      <c r="BKG47" s="41"/>
      <c r="BKH47" s="41"/>
      <c r="BKI47" s="41"/>
      <c r="BKJ47" s="41"/>
      <c r="BKK47" s="139"/>
      <c r="BKL47" s="41"/>
      <c r="BKM47" s="41"/>
      <c r="BKN47" s="41"/>
      <c r="BKO47" s="41"/>
      <c r="BKP47" s="41"/>
      <c r="BKQ47" s="76"/>
      <c r="BKR47" s="66"/>
      <c r="BKS47" s="66"/>
      <c r="BKT47" s="66"/>
      <c r="BKU47" s="66"/>
      <c r="BKV47" s="41"/>
      <c r="BKW47" s="139"/>
      <c r="BKX47" s="41"/>
      <c r="BKY47" s="41"/>
      <c r="BKZ47" s="41"/>
      <c r="BLA47" s="41"/>
      <c r="BLB47" s="41"/>
      <c r="BLC47" s="76"/>
      <c r="BLD47" s="41"/>
      <c r="BLE47" s="41"/>
      <c r="BLF47" s="41"/>
      <c r="BLG47" s="41"/>
      <c r="BLH47" s="41"/>
      <c r="BLI47" s="139"/>
      <c r="BLJ47" s="41"/>
      <c r="BLK47" s="41"/>
      <c r="BLL47" s="41"/>
      <c r="BLM47" s="41"/>
      <c r="BLN47" s="41"/>
      <c r="BLO47" s="76"/>
      <c r="BLP47" s="41"/>
      <c r="BLQ47" s="41"/>
      <c r="BLR47" s="41"/>
      <c r="BLS47" s="41"/>
      <c r="BLT47" s="41"/>
      <c r="BLU47" s="42"/>
      <c r="BLV47" s="90"/>
    </row>
    <row r="48" spans="1:1686" ht="20.100000000000001" customHeight="1" x14ac:dyDescent="0.3">
      <c r="A48" s="100" t="s">
        <v>18</v>
      </c>
      <c r="B48" s="63" t="str">
        <f>IF(LEN(C81)=0,"",C81)</f>
        <v/>
      </c>
      <c r="C48" s="207"/>
      <c r="D48" s="148" t="str">
        <f t="shared" si="0"/>
        <v>0h5min</v>
      </c>
      <c r="E48" s="27">
        <v>1</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85"/>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9"/>
      <c r="AGY48" s="29"/>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8"/>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36"/>
      <c r="APR48" s="29"/>
      <c r="APS48" s="29"/>
      <c r="APT48" s="29"/>
      <c r="APU48" s="29"/>
      <c r="APV48" s="29"/>
      <c r="APW48" s="73"/>
      <c r="APX48" s="67"/>
      <c r="APY48" s="67"/>
      <c r="APZ48" s="67"/>
      <c r="AQA48" s="67"/>
      <c r="AQB48" s="29"/>
      <c r="AQC48" s="136"/>
      <c r="AQD48" s="29"/>
      <c r="AQE48" s="29"/>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28"/>
      <c r="BHG48" s="67"/>
      <c r="BHH48" s="67"/>
      <c r="BHI48" s="67"/>
      <c r="BHJ48" s="29"/>
      <c r="BHK48" s="131"/>
      <c r="BHL48" s="29"/>
      <c r="BHM48" s="29"/>
      <c r="BHN48" s="29"/>
      <c r="BHO48" s="29"/>
      <c r="BHP48" s="29"/>
      <c r="BHQ48" s="136"/>
      <c r="BHR48" s="29"/>
      <c r="BHS48" s="29"/>
      <c r="BHT48" s="29"/>
      <c r="BHU48" s="29"/>
      <c r="BHV48" s="29"/>
      <c r="BHW48" s="73"/>
      <c r="BHX48" s="29"/>
      <c r="BHY48" s="29"/>
      <c r="BHZ48" s="29"/>
      <c r="BIA48" s="29"/>
      <c r="BIB48" s="29"/>
      <c r="BIC48" s="136"/>
      <c r="BID48" s="29"/>
      <c r="BIE48" s="29"/>
      <c r="BIF48" s="29"/>
      <c r="BIG48" s="29"/>
      <c r="BIH48" s="29"/>
      <c r="BII48" s="73"/>
      <c r="BIJ48" s="67"/>
      <c r="BIK48" s="67"/>
      <c r="BIL48" s="67"/>
      <c r="BIM48" s="67"/>
      <c r="BIN48" s="29"/>
      <c r="BIO48" s="136"/>
      <c r="BIP48" s="29"/>
      <c r="BIQ48" s="29"/>
      <c r="BIR48" s="29"/>
      <c r="BIS48" s="29"/>
      <c r="BIT48" s="29"/>
      <c r="BIU48" s="73"/>
      <c r="BIV48" s="29"/>
      <c r="BIW48" s="29"/>
      <c r="BIX48" s="29"/>
      <c r="BIY48" s="29"/>
      <c r="BIZ48" s="29"/>
      <c r="BJA48" s="136"/>
      <c r="BJB48" s="29"/>
      <c r="BJC48" s="29"/>
      <c r="BJD48" s="29"/>
      <c r="BJE48" s="29"/>
      <c r="BJF48" s="29"/>
      <c r="BJG48" s="73"/>
      <c r="BJH48" s="29"/>
      <c r="BJI48" s="29"/>
      <c r="BJJ48" s="29"/>
      <c r="BJK48" s="29"/>
      <c r="BJL48" s="29"/>
      <c r="BJM48" s="30"/>
      <c r="BJN48" s="28"/>
      <c r="BJO48" s="67"/>
      <c r="BJP48" s="67"/>
      <c r="BJQ48" s="67"/>
      <c r="BJR48" s="29"/>
      <c r="BJS48" s="131"/>
      <c r="BJT48" s="29"/>
      <c r="BJU48" s="29"/>
      <c r="BJV48" s="29"/>
      <c r="BJW48" s="29"/>
      <c r="BJX48" s="29"/>
      <c r="BJY48" s="136"/>
      <c r="BJZ48" s="29"/>
      <c r="BKA48" s="29"/>
      <c r="BKB48" s="29"/>
      <c r="BKC48" s="29"/>
      <c r="BKD48" s="29"/>
      <c r="BKE48" s="73"/>
      <c r="BKF48" s="29"/>
      <c r="BKG48" s="29"/>
      <c r="BKH48" s="29"/>
      <c r="BKI48" s="29"/>
      <c r="BKJ48" s="29"/>
      <c r="BKK48" s="136"/>
      <c r="BKL48" s="29"/>
      <c r="BKM48" s="29"/>
      <c r="BKN48" s="29"/>
      <c r="BKO48" s="29"/>
      <c r="BKP48" s="29"/>
      <c r="BKQ48" s="73"/>
      <c r="BKR48" s="67"/>
      <c r="BKS48" s="67"/>
      <c r="BKT48" s="67"/>
      <c r="BKU48" s="67"/>
      <c r="BKV48" s="29"/>
      <c r="BKW48" s="136"/>
      <c r="BKX48" s="29"/>
      <c r="BKY48" s="29"/>
      <c r="BKZ48" s="29"/>
      <c r="BLA48" s="29"/>
      <c r="BLB48" s="29"/>
      <c r="BLC48" s="73"/>
      <c r="BLD48" s="29"/>
      <c r="BLE48" s="29"/>
      <c r="BLF48" s="29"/>
      <c r="BLG48" s="29"/>
      <c r="BLH48" s="29"/>
      <c r="BLI48" s="136"/>
      <c r="BLJ48" s="29"/>
      <c r="BLK48" s="29"/>
      <c r="BLL48" s="29"/>
      <c r="BLM48" s="29"/>
      <c r="BLN48" s="29"/>
      <c r="BLO48" s="73"/>
      <c r="BLP48" s="29"/>
      <c r="BLQ48" s="29"/>
      <c r="BLR48" s="29"/>
      <c r="BLS48" s="29"/>
      <c r="BLT48" s="29"/>
      <c r="BLU48" s="30"/>
      <c r="BLV48" s="90"/>
    </row>
    <row r="49" spans="1:1686" ht="20.100000000000001" customHeight="1" x14ac:dyDescent="0.25">
      <c r="A49" s="100" t="s">
        <v>17</v>
      </c>
      <c r="B49" s="63" t="str">
        <f>IF(LEN(C83)=0,"",C83)</f>
        <v/>
      </c>
      <c r="C49" s="205" t="s">
        <v>135</v>
      </c>
      <c r="D49" s="146" t="str">
        <f t="shared" si="0"/>
        <v>1h</v>
      </c>
      <c r="E49" s="31">
        <v>12</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167"/>
      <c r="SS49" s="167"/>
      <c r="ST49" s="167"/>
      <c r="SU49" s="182"/>
      <c r="SV49" s="166"/>
      <c r="SW49" s="166"/>
      <c r="SX49" s="166"/>
      <c r="SY49" s="166"/>
      <c r="SZ49" s="167"/>
      <c r="TA49" s="181"/>
      <c r="TB49" s="167"/>
      <c r="TC49" s="167"/>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64"/>
      <c r="YS49" s="64"/>
      <c r="YT49" s="33"/>
      <c r="YU49" s="132"/>
      <c r="YV49" s="33"/>
      <c r="YW49" s="33"/>
      <c r="YX49" s="33"/>
      <c r="YY49" s="33"/>
      <c r="YZ49" s="33"/>
      <c r="ZA49" s="137"/>
      <c r="ZB49" s="33"/>
      <c r="ZC49" s="33"/>
      <c r="ZD49" s="33"/>
      <c r="ZE49" s="33"/>
      <c r="ZF49" s="33"/>
      <c r="ZG49" s="74"/>
      <c r="ZH49" s="33"/>
      <c r="ZI49" s="33"/>
      <c r="ZJ49" s="33"/>
      <c r="ZK49" s="33"/>
      <c r="ZL49" s="33"/>
      <c r="ZM49" s="137"/>
      <c r="ZN49" s="33"/>
      <c r="ZO49" s="33"/>
      <c r="ZP49" s="33"/>
      <c r="ZQ49" s="33"/>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32"/>
      <c r="ADG49" s="64"/>
      <c r="ADH49" s="64"/>
      <c r="ADI49" s="64"/>
      <c r="ADJ49" s="33"/>
      <c r="ADK49" s="132"/>
      <c r="ADL49" s="33"/>
      <c r="ADM49" s="33"/>
      <c r="ADN49" s="33"/>
      <c r="ADO49" s="33"/>
      <c r="ADP49" s="33"/>
      <c r="ADQ49" s="137"/>
      <c r="ADR49" s="33"/>
      <c r="ADS49" s="33"/>
      <c r="ADT49" s="33"/>
      <c r="ADU49" s="33"/>
      <c r="ADV49" s="33"/>
      <c r="ADW49" s="74"/>
      <c r="ADX49" s="33"/>
      <c r="ADY49" s="33"/>
      <c r="ADZ49" s="33"/>
      <c r="AEA49" s="33"/>
      <c r="AEB49" s="33"/>
      <c r="AEC49" s="137"/>
      <c r="AED49" s="33"/>
      <c r="AEE49" s="33"/>
      <c r="AEF49" s="33"/>
      <c r="AEG49" s="33"/>
      <c r="AEH49" s="33"/>
      <c r="AEI49" s="74"/>
      <c r="AEJ49" s="64"/>
      <c r="AEK49" s="64"/>
      <c r="AEL49" s="64"/>
      <c r="AEM49" s="64"/>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32"/>
      <c r="AFO49" s="64"/>
      <c r="AFP49" s="64"/>
      <c r="AFQ49" s="64"/>
      <c r="AFR49" s="33"/>
      <c r="AFS49" s="132"/>
      <c r="AFT49" s="33"/>
      <c r="AFU49" s="33"/>
      <c r="AFV49" s="33"/>
      <c r="AFW49" s="33"/>
      <c r="AFX49" s="33"/>
      <c r="AFY49" s="137"/>
      <c r="AFZ49" s="33"/>
      <c r="AGA49" s="33"/>
      <c r="AGB49" s="33"/>
      <c r="AGC49" s="33"/>
      <c r="AGD49" s="33"/>
      <c r="AGE49" s="74"/>
      <c r="AGF49" s="33"/>
      <c r="AGG49" s="33"/>
      <c r="AGH49" s="33"/>
      <c r="AGI49" s="33"/>
      <c r="AGJ49" s="33"/>
      <c r="AGK49" s="137"/>
      <c r="AGL49" s="33"/>
      <c r="AGM49" s="33"/>
      <c r="AGN49" s="33"/>
      <c r="AGO49" s="33"/>
      <c r="AGP49" s="33"/>
      <c r="AGQ49" s="74"/>
      <c r="AGR49" s="64"/>
      <c r="AGS49" s="64"/>
      <c r="AGT49" s="64"/>
      <c r="AGU49" s="64"/>
      <c r="AGV49" s="33"/>
      <c r="AGW49" s="137"/>
      <c r="AGX49" s="33"/>
      <c r="AGY49" s="33"/>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32"/>
      <c r="AHW49" s="64"/>
      <c r="AHX49" s="64"/>
      <c r="AHY49" s="64"/>
      <c r="AHZ49" s="33"/>
      <c r="AIA49" s="132"/>
      <c r="AIB49" s="33"/>
      <c r="AIC49" s="33"/>
      <c r="AID49" s="33"/>
      <c r="AIE49" s="33"/>
      <c r="AIF49" s="33"/>
      <c r="AIG49" s="137"/>
      <c r="AIH49" s="33"/>
      <c r="AII49" s="33"/>
      <c r="AIJ49" s="33"/>
      <c r="AIK49" s="33"/>
      <c r="AIL49" s="33"/>
      <c r="AIM49" s="74"/>
      <c r="AIN49" s="33"/>
      <c r="AIO49" s="33"/>
      <c r="AIP49" s="33"/>
      <c r="AIQ49" s="33"/>
      <c r="AIR49" s="33"/>
      <c r="AIS49" s="137"/>
      <c r="AIT49" s="33"/>
      <c r="AIU49" s="33"/>
      <c r="AIV49" s="33"/>
      <c r="AIW49" s="33"/>
      <c r="AIX49" s="33"/>
      <c r="AIY49" s="74"/>
      <c r="AIZ49" s="64"/>
      <c r="AJA49" s="64"/>
      <c r="AJB49" s="64"/>
      <c r="AJC49" s="64"/>
      <c r="AJD49" s="33"/>
      <c r="AJE49" s="137"/>
      <c r="AJF49" s="33"/>
      <c r="AJG49" s="33"/>
      <c r="AJH49" s="33"/>
      <c r="AJI49" s="33"/>
      <c r="AJJ49" s="33"/>
      <c r="AJK49" s="74"/>
      <c r="AJL49" s="33"/>
      <c r="AJM49" s="33"/>
      <c r="AJN49" s="33"/>
      <c r="AJO49" s="33"/>
      <c r="AJP49" s="33"/>
      <c r="AJQ49" s="137"/>
      <c r="AJR49" s="33"/>
      <c r="AJS49" s="33"/>
      <c r="AJT49" s="33"/>
      <c r="AJU49" s="33"/>
      <c r="AJV49" s="33"/>
      <c r="AJW49" s="74"/>
      <c r="AJX49" s="33"/>
      <c r="AJY49" s="33"/>
      <c r="AJZ49" s="33"/>
      <c r="AKA49" s="33"/>
      <c r="AKB49" s="33"/>
      <c r="AKC49" s="34"/>
      <c r="AKD49" s="32"/>
      <c r="AKE49" s="64"/>
      <c r="AKF49" s="64"/>
      <c r="AKG49" s="64"/>
      <c r="AKH49" s="33"/>
      <c r="AKI49" s="132"/>
      <c r="AKJ49" s="33"/>
      <c r="AKK49" s="33"/>
      <c r="AKL49" s="33"/>
      <c r="AKM49" s="33"/>
      <c r="AKN49" s="33"/>
      <c r="AKO49" s="137"/>
      <c r="AKP49" s="33"/>
      <c r="AKQ49" s="33"/>
      <c r="AKR49" s="33"/>
      <c r="AKS49" s="33"/>
      <c r="AKT49" s="33"/>
      <c r="AKU49" s="74"/>
      <c r="AKV49" s="33"/>
      <c r="AKW49" s="33"/>
      <c r="AKX49" s="33"/>
      <c r="AKY49" s="33"/>
      <c r="AKZ49" s="33"/>
      <c r="ALA49" s="137"/>
      <c r="ALB49" s="33"/>
      <c r="ALC49" s="33"/>
      <c r="ALD49" s="33"/>
      <c r="ALE49" s="33"/>
      <c r="ALF49" s="33"/>
      <c r="ALG49" s="74"/>
      <c r="ALH49" s="64"/>
      <c r="ALI49" s="64"/>
      <c r="ALJ49" s="64"/>
      <c r="ALK49" s="64"/>
      <c r="ALL49" s="33"/>
      <c r="ALM49" s="137"/>
      <c r="ALN49" s="33"/>
      <c r="ALO49" s="33"/>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32"/>
      <c r="AMM49" s="64"/>
      <c r="AMN49" s="64"/>
      <c r="AMO49" s="64"/>
      <c r="AMP49" s="33"/>
      <c r="AMQ49" s="132"/>
      <c r="AMR49" s="33"/>
      <c r="AMS49" s="33"/>
      <c r="AMT49" s="33"/>
      <c r="AMU49" s="33"/>
      <c r="AMV49" s="33"/>
      <c r="AMW49" s="137"/>
      <c r="AMX49" s="33"/>
      <c r="AMY49" s="33"/>
      <c r="AMZ49" s="33"/>
      <c r="ANA49" s="33"/>
      <c r="ANB49" s="33"/>
      <c r="ANC49" s="74"/>
      <c r="AND49" s="33"/>
      <c r="ANE49" s="33"/>
      <c r="ANF49" s="33"/>
      <c r="ANG49" s="33"/>
      <c r="ANH49" s="33"/>
      <c r="ANI49" s="137"/>
      <c r="ANJ49" s="33"/>
      <c r="ANK49" s="33"/>
      <c r="ANL49" s="33"/>
      <c r="ANM49" s="33"/>
      <c r="ANN49" s="33"/>
      <c r="ANO49" s="74"/>
      <c r="ANP49" s="64"/>
      <c r="ANQ49" s="64"/>
      <c r="ANR49" s="64"/>
      <c r="ANS49" s="64"/>
      <c r="ANT49" s="33"/>
      <c r="ANU49" s="137"/>
      <c r="ANV49" s="33"/>
      <c r="ANW49" s="33"/>
      <c r="ANX49" s="33"/>
      <c r="ANY49" s="33"/>
      <c r="ANZ49" s="33"/>
      <c r="AOA49" s="74"/>
      <c r="AOB49" s="33"/>
      <c r="AOC49" s="33"/>
      <c r="AOD49" s="33"/>
      <c r="AOE49" s="33"/>
      <c r="AOF49" s="33"/>
      <c r="AOG49" s="137"/>
      <c r="AOH49" s="33"/>
      <c r="AOI49" s="33"/>
      <c r="AOJ49" s="33"/>
      <c r="AOK49" s="33"/>
      <c r="AOL49" s="33"/>
      <c r="AOM49" s="74"/>
      <c r="AON49" s="33"/>
      <c r="AOO49" s="33"/>
      <c r="AOP49" s="33"/>
      <c r="AOQ49" s="33"/>
      <c r="AOR49" s="33"/>
      <c r="AOS49" s="34"/>
      <c r="AOT49" s="32"/>
      <c r="AOU49" s="64"/>
      <c r="AOV49" s="64"/>
      <c r="AOW49" s="64"/>
      <c r="AOX49" s="33"/>
      <c r="AOY49" s="132"/>
      <c r="AOZ49" s="33"/>
      <c r="APA49" s="33"/>
      <c r="APB49" s="33"/>
      <c r="APC49" s="33"/>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33"/>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33"/>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37"/>
      <c r="AXN49" s="33"/>
      <c r="AXO49" s="33"/>
      <c r="AXP49" s="33"/>
      <c r="AXQ49" s="33"/>
      <c r="AXR49" s="33"/>
      <c r="AXS49" s="74"/>
      <c r="AXT49" s="33"/>
      <c r="AXU49" s="33"/>
      <c r="AXV49" s="33"/>
      <c r="AXW49" s="33"/>
      <c r="AXX49" s="33"/>
      <c r="AXY49" s="34"/>
      <c r="AXZ49" s="32"/>
      <c r="AYA49" s="64"/>
      <c r="AYB49" s="64"/>
      <c r="AYC49" s="64"/>
      <c r="AYD49" s="33"/>
      <c r="AYE49" s="132"/>
      <c r="AYF49" s="33"/>
      <c r="AYG49" s="33"/>
      <c r="AYH49" s="33"/>
      <c r="AYI49" s="33"/>
      <c r="AYJ49" s="33"/>
      <c r="AYK49" s="137"/>
      <c r="AYL49" s="33"/>
      <c r="AYM49" s="33"/>
      <c r="AYN49" s="33"/>
      <c r="AYO49" s="33"/>
      <c r="AYP49" s="33"/>
      <c r="AYQ49" s="74"/>
      <c r="AYR49" s="33"/>
      <c r="AYS49" s="33"/>
      <c r="AYT49" s="33"/>
      <c r="AYU49" s="33"/>
      <c r="AYV49" s="33"/>
      <c r="AYW49" s="137"/>
      <c r="AYX49" s="33"/>
      <c r="AYY49" s="33"/>
      <c r="AYZ49" s="33"/>
      <c r="AZA49" s="33"/>
      <c r="AZB49" s="33"/>
      <c r="AZC49" s="74"/>
      <c r="AZD49" s="64"/>
      <c r="AZE49" s="64"/>
      <c r="AZF49" s="64"/>
      <c r="AZG49" s="64"/>
      <c r="AZH49" s="33"/>
      <c r="AZI49" s="137"/>
      <c r="AZJ49" s="33"/>
      <c r="AZK49" s="33"/>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32"/>
      <c r="BAI49" s="64"/>
      <c r="BAJ49" s="64"/>
      <c r="BAK49" s="64"/>
      <c r="BAL49" s="33"/>
      <c r="BAM49" s="132"/>
      <c r="BAN49" s="33"/>
      <c r="BAO49" s="33"/>
      <c r="BAP49" s="33"/>
      <c r="BAQ49" s="33"/>
      <c r="BAR49" s="33"/>
      <c r="BAS49" s="137"/>
      <c r="BAT49" s="33"/>
      <c r="BAU49" s="33"/>
      <c r="BAV49" s="33"/>
      <c r="BAW49" s="33"/>
      <c r="BAX49" s="33"/>
      <c r="BAY49" s="74"/>
      <c r="BAZ49" s="33"/>
      <c r="BBA49" s="33"/>
      <c r="BBB49" s="33"/>
      <c r="BBC49" s="33"/>
      <c r="BBD49" s="33"/>
      <c r="BBE49" s="137"/>
      <c r="BBF49" s="33"/>
      <c r="BBG49" s="33"/>
      <c r="BBH49" s="33"/>
      <c r="BBI49" s="33"/>
      <c r="BBJ49" s="33"/>
      <c r="BBK49" s="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33"/>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37"/>
      <c r="BGT49" s="33"/>
      <c r="BGU49" s="33"/>
      <c r="BGV49" s="33"/>
      <c r="BGW49" s="33"/>
      <c r="BGX49" s="33"/>
      <c r="BGY49" s="74"/>
      <c r="BGZ49" s="33"/>
      <c r="BHA49" s="33"/>
      <c r="BHB49" s="33"/>
      <c r="BHC49" s="33"/>
      <c r="BHD49" s="33"/>
      <c r="BHE49" s="34"/>
      <c r="BHF49" s="32"/>
      <c r="BHG49" s="64"/>
      <c r="BHH49" s="64"/>
      <c r="BHI49" s="64"/>
      <c r="BHJ49" s="33"/>
      <c r="BHK49" s="132"/>
      <c r="BHL49" s="33"/>
      <c r="BHM49" s="33"/>
      <c r="BHN49" s="33"/>
      <c r="BHO49" s="33"/>
      <c r="BHP49" s="33"/>
      <c r="BHQ49" s="137"/>
      <c r="BHR49" s="33"/>
      <c r="BHS49" s="33"/>
      <c r="BHT49" s="33"/>
      <c r="BHU49" s="33"/>
      <c r="BHV49" s="33"/>
      <c r="BHW49" s="74"/>
      <c r="BHX49" s="33"/>
      <c r="BHY49" s="33"/>
      <c r="BHZ49" s="33"/>
      <c r="BIA49" s="33"/>
      <c r="BIB49" s="33"/>
      <c r="BIC49" s="137"/>
      <c r="BID49" s="33"/>
      <c r="BIE49" s="33"/>
      <c r="BIF49" s="33"/>
      <c r="BIG49" s="33"/>
      <c r="BIH49" s="33"/>
      <c r="BII49" s="74"/>
      <c r="BIJ49" s="64"/>
      <c r="BIK49" s="64"/>
      <c r="BIL49" s="64"/>
      <c r="BIM49" s="64"/>
      <c r="BIN49" s="33"/>
      <c r="BIO49" s="137"/>
      <c r="BIP49" s="33"/>
      <c r="BIQ49" s="33"/>
      <c r="BIR49" s="33"/>
      <c r="BIS49" s="33"/>
      <c r="BIT49" s="33"/>
      <c r="BIU49" s="74"/>
      <c r="BIV49" s="33"/>
      <c r="BIW49" s="33"/>
      <c r="BIX49" s="33"/>
      <c r="BIY49" s="33"/>
      <c r="BIZ49" s="33"/>
      <c r="BJA49" s="137"/>
      <c r="BJB49" s="33"/>
      <c r="BJC49" s="33"/>
      <c r="BJD49" s="33"/>
      <c r="BJE49" s="33"/>
      <c r="BJF49" s="33"/>
      <c r="BJG49" s="74"/>
      <c r="BJH49" s="33"/>
      <c r="BJI49" s="33"/>
      <c r="BJJ49" s="33"/>
      <c r="BJK49" s="33"/>
      <c r="BJL49" s="33"/>
      <c r="BJM49" s="34"/>
      <c r="BJN49" s="32"/>
      <c r="BJO49" s="64"/>
      <c r="BJP49" s="64"/>
      <c r="BJQ49" s="64"/>
      <c r="BJR49" s="33"/>
      <c r="BJS49" s="132"/>
      <c r="BJT49" s="33"/>
      <c r="BJU49" s="33"/>
      <c r="BJV49" s="33"/>
      <c r="BJW49" s="33"/>
      <c r="BJX49" s="33"/>
      <c r="BJY49" s="137"/>
      <c r="BJZ49" s="33"/>
      <c r="BKA49" s="33"/>
      <c r="BKB49" s="33"/>
      <c r="BKC49" s="33"/>
      <c r="BKD49" s="33"/>
      <c r="BKE49" s="74"/>
      <c r="BKF49" s="33"/>
      <c r="BKG49" s="33"/>
      <c r="BKH49" s="33"/>
      <c r="BKI49" s="33"/>
      <c r="BKJ49" s="33"/>
      <c r="BKK49" s="137"/>
      <c r="BKL49" s="33"/>
      <c r="BKM49" s="33"/>
      <c r="BKN49" s="33"/>
      <c r="BKO49" s="33"/>
      <c r="BKP49" s="33"/>
      <c r="BKQ49" s="74"/>
      <c r="BKR49" s="64"/>
      <c r="BKS49" s="64"/>
      <c r="BKT49" s="64"/>
      <c r="BKU49" s="64"/>
      <c r="BKV49" s="33"/>
      <c r="BKW49" s="137"/>
      <c r="BKX49" s="33"/>
      <c r="BKY49" s="33"/>
      <c r="BKZ49" s="33"/>
      <c r="BLA49" s="33"/>
      <c r="BLB49" s="33"/>
      <c r="BLC49" s="74"/>
      <c r="BLD49" s="33"/>
      <c r="BLE49" s="33"/>
      <c r="BLF49" s="33"/>
      <c r="BLG49" s="33"/>
      <c r="BLH49" s="33"/>
      <c r="BLI49" s="137"/>
      <c r="BLJ49" s="33"/>
      <c r="BLK49" s="33"/>
      <c r="BLL49" s="33"/>
      <c r="BLM49" s="33"/>
      <c r="BLN49" s="33"/>
      <c r="BLO49" s="74"/>
      <c r="BLP49" s="33"/>
      <c r="BLQ49" s="33"/>
      <c r="BLR49" s="33"/>
      <c r="BLS49" s="33"/>
      <c r="BLT49" s="33"/>
      <c r="BLU49" s="34"/>
      <c r="BLV49" s="90"/>
    </row>
    <row r="50" spans="1:1686" ht="20.100000000000001" customHeight="1" x14ac:dyDescent="0.3">
      <c r="A50" s="100" t="s">
        <v>18</v>
      </c>
      <c r="B50" s="63" t="str">
        <f>IF(LEN(C85)=0,"",C85)</f>
        <v/>
      </c>
      <c r="C50" s="207"/>
      <c r="D50" s="148"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37"/>
      <c r="XC50" s="37"/>
      <c r="XD50" s="37"/>
      <c r="XE50" s="138"/>
      <c r="XF50" s="37"/>
      <c r="XG50" s="37"/>
      <c r="XH50" s="37"/>
      <c r="XI50" s="37"/>
      <c r="XJ50" s="37"/>
      <c r="XK50" s="75"/>
      <c r="XL50" s="65"/>
      <c r="XM50" s="65"/>
      <c r="XN50" s="65"/>
      <c r="XO50" s="65"/>
      <c r="XP50" s="37"/>
      <c r="XQ50" s="13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36"/>
      <c r="AAY50" s="65"/>
      <c r="AAZ50" s="65"/>
      <c r="ABA50" s="65"/>
      <c r="ABB50" s="37"/>
      <c r="ABC50" s="133"/>
      <c r="ABD50" s="37"/>
      <c r="ABE50" s="37"/>
      <c r="ABF50" s="37"/>
      <c r="ABG50" s="37"/>
      <c r="ABH50" s="37"/>
      <c r="ABI50" s="138"/>
      <c r="ABJ50" s="37"/>
      <c r="ABK50" s="37"/>
      <c r="ABL50" s="37"/>
      <c r="ABM50" s="37"/>
      <c r="ABN50" s="37"/>
      <c r="ABO50" s="75"/>
      <c r="ABP50" s="37"/>
      <c r="ABQ50" s="37"/>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37"/>
      <c r="AWU50" s="75"/>
      <c r="AWV50" s="65"/>
      <c r="AWW50" s="65"/>
      <c r="AWX50" s="65"/>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36"/>
      <c r="BHG50" s="65"/>
      <c r="BHH50" s="65"/>
      <c r="BHI50" s="65"/>
      <c r="BHJ50" s="37"/>
      <c r="BHK50" s="133"/>
      <c r="BHL50" s="37"/>
      <c r="BHM50" s="37"/>
      <c r="BHN50" s="37"/>
      <c r="BHO50" s="37"/>
      <c r="BHP50" s="37"/>
      <c r="BHQ50" s="138"/>
      <c r="BHR50" s="37"/>
      <c r="BHS50" s="37"/>
      <c r="BHT50" s="37"/>
      <c r="BHU50" s="37"/>
      <c r="BHV50" s="37"/>
      <c r="BHW50" s="75"/>
      <c r="BHX50" s="37"/>
      <c r="BHY50" s="37"/>
      <c r="BHZ50" s="37"/>
      <c r="BIA50" s="37"/>
      <c r="BIB50" s="37"/>
      <c r="BIC50" s="138"/>
      <c r="BID50" s="37"/>
      <c r="BIE50" s="37"/>
      <c r="BIF50" s="37"/>
      <c r="BIG50" s="37"/>
      <c r="BIH50" s="37"/>
      <c r="BII50" s="75"/>
      <c r="BIJ50" s="65"/>
      <c r="BIK50" s="65"/>
      <c r="BIL50" s="65"/>
      <c r="BIM50" s="65"/>
      <c r="BIN50" s="37"/>
      <c r="BIO50" s="138"/>
      <c r="BIP50" s="37"/>
      <c r="BIQ50" s="37"/>
      <c r="BIR50" s="37"/>
      <c r="BIS50" s="37"/>
      <c r="BIT50" s="37"/>
      <c r="BIU50" s="75"/>
      <c r="BIV50" s="37"/>
      <c r="BIW50" s="37"/>
      <c r="BIX50" s="37"/>
      <c r="BIY50" s="37"/>
      <c r="BIZ50" s="37"/>
      <c r="BJA50" s="138"/>
      <c r="BJB50" s="37"/>
      <c r="BJC50" s="37"/>
      <c r="BJD50" s="37"/>
      <c r="BJE50" s="37"/>
      <c r="BJF50" s="37"/>
      <c r="BJG50" s="75"/>
      <c r="BJH50" s="37"/>
      <c r="BJI50" s="37"/>
      <c r="BJJ50" s="37"/>
      <c r="BJK50" s="37"/>
      <c r="BJL50" s="37"/>
      <c r="BJM50" s="38"/>
      <c r="BJN50" s="36"/>
      <c r="BJO50" s="65"/>
      <c r="BJP50" s="65"/>
      <c r="BJQ50" s="65"/>
      <c r="BJR50" s="37"/>
      <c r="BJS50" s="133"/>
      <c r="BJT50" s="37"/>
      <c r="BJU50" s="37"/>
      <c r="BJV50" s="37"/>
      <c r="BJW50" s="37"/>
      <c r="BJX50" s="37"/>
      <c r="BJY50" s="138"/>
      <c r="BJZ50" s="37"/>
      <c r="BKA50" s="37"/>
      <c r="BKB50" s="37"/>
      <c r="BKC50" s="37"/>
      <c r="BKD50" s="37"/>
      <c r="BKE50" s="75"/>
      <c r="BKF50" s="37"/>
      <c r="BKG50" s="37"/>
      <c r="BKH50" s="37"/>
      <c r="BKI50" s="37"/>
      <c r="BKJ50" s="37"/>
      <c r="BKK50" s="138"/>
      <c r="BKL50" s="37"/>
      <c r="BKM50" s="37"/>
      <c r="BKN50" s="37"/>
      <c r="BKO50" s="37"/>
      <c r="BKP50" s="37"/>
      <c r="BKQ50" s="75"/>
      <c r="BKR50" s="65"/>
      <c r="BKS50" s="65"/>
      <c r="BKT50" s="65"/>
      <c r="BKU50" s="65"/>
      <c r="BKV50" s="37"/>
      <c r="BKW50" s="138"/>
      <c r="BKX50" s="37"/>
      <c r="BKY50" s="37"/>
      <c r="BKZ50" s="37"/>
      <c r="BLA50" s="37"/>
      <c r="BLB50" s="37"/>
      <c r="BLC50" s="75"/>
      <c r="BLD50" s="37"/>
      <c r="BLE50" s="37"/>
      <c r="BLF50" s="37"/>
      <c r="BLG50" s="37"/>
      <c r="BLH50" s="37"/>
      <c r="BLI50" s="138"/>
      <c r="BLJ50" s="37"/>
      <c r="BLK50" s="37"/>
      <c r="BLL50" s="37"/>
      <c r="BLM50" s="37"/>
      <c r="BLN50" s="37"/>
      <c r="BLO50" s="75"/>
      <c r="BLP50" s="37"/>
      <c r="BLQ50" s="37"/>
      <c r="BLR50" s="37"/>
      <c r="BLS50" s="37"/>
      <c r="BLT50" s="37"/>
      <c r="BLU50" s="38"/>
      <c r="BLV50" s="90"/>
    </row>
    <row r="51" spans="1:1686" ht="20.100000000000001" customHeight="1" x14ac:dyDescent="0.25">
      <c r="A51" s="100" t="s">
        <v>17</v>
      </c>
      <c r="B51" s="63" t="str">
        <f>IF(LEN(C87)=0,"",C87)</f>
        <v/>
      </c>
      <c r="C51" s="205" t="s">
        <v>139</v>
      </c>
      <c r="D51" s="146" t="str">
        <f t="shared" si="0"/>
        <v>0h45min</v>
      </c>
      <c r="E51" s="39">
        <v>9</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40"/>
      <c r="AAY51" s="66"/>
      <c r="AAZ51" s="66"/>
      <c r="ABA51" s="66"/>
      <c r="ABB51" s="41"/>
      <c r="ABC51" s="134"/>
      <c r="ABD51" s="41"/>
      <c r="ABE51" s="41"/>
      <c r="ABF51" s="41"/>
      <c r="ABG51" s="41"/>
      <c r="ABH51" s="41"/>
      <c r="ABI51" s="139"/>
      <c r="ABJ51" s="41"/>
      <c r="ABK51" s="41"/>
      <c r="ABL51" s="41"/>
      <c r="ABM51" s="41"/>
      <c r="ABN51" s="41"/>
      <c r="ABO51" s="76"/>
      <c r="ABP51" s="41"/>
      <c r="ABQ51" s="41"/>
      <c r="ABR51" s="41"/>
      <c r="ABS51" s="41"/>
      <c r="ABT51" s="41"/>
      <c r="ABU51" s="139"/>
      <c r="ABV51" s="41"/>
      <c r="ABW51" s="41"/>
      <c r="ABX51" s="41"/>
      <c r="ABY51" s="41"/>
      <c r="ABZ51" s="41"/>
      <c r="ACA51" s="76"/>
      <c r="ACB51" s="66"/>
      <c r="ACC51" s="66"/>
      <c r="ACD51" s="66"/>
      <c r="ACE51" s="66"/>
      <c r="ACF51" s="41"/>
      <c r="ACG51" s="139"/>
      <c r="ACH51" s="41"/>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41"/>
      <c r="AEA51" s="41"/>
      <c r="AEB51" s="41"/>
      <c r="AEC51" s="139"/>
      <c r="AED51" s="41"/>
      <c r="AEE51" s="41"/>
      <c r="AEF51" s="41"/>
      <c r="AEG51" s="177"/>
      <c r="AEH51" s="177"/>
      <c r="AEI51" s="180"/>
      <c r="AEJ51" s="176"/>
      <c r="AEK51" s="176"/>
      <c r="AEL51" s="176"/>
      <c r="AEM51" s="176"/>
      <c r="AEN51" s="177"/>
      <c r="AEO51" s="179"/>
      <c r="AEP51" s="41"/>
      <c r="AEQ51" s="41"/>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40"/>
      <c r="BCQ51" s="66"/>
      <c r="BCR51" s="66"/>
      <c r="BCS51" s="66"/>
      <c r="BCT51" s="41"/>
      <c r="BCU51" s="134"/>
      <c r="BCV51" s="41"/>
      <c r="BCW51" s="41"/>
      <c r="BCX51" s="41"/>
      <c r="BCY51" s="41"/>
      <c r="BCZ51" s="41"/>
      <c r="BDA51" s="139"/>
      <c r="BDB51" s="41"/>
      <c r="BDC51" s="41"/>
      <c r="BDD51" s="41"/>
      <c r="BDE51" s="41"/>
      <c r="BDF51" s="41"/>
      <c r="BDG51" s="76"/>
      <c r="BDH51" s="41"/>
      <c r="BDI51" s="41"/>
      <c r="BDJ51" s="41"/>
      <c r="BDK51" s="41"/>
      <c r="BDL51" s="41"/>
      <c r="BDM51" s="139"/>
      <c r="BDN51" s="41"/>
      <c r="BDO51" s="41"/>
      <c r="BDP51" s="41"/>
      <c r="BDQ51" s="41"/>
      <c r="BDR51" s="41"/>
      <c r="BDS51" s="76"/>
      <c r="BDT51" s="66"/>
      <c r="BDU51" s="66"/>
      <c r="BDV51" s="66"/>
      <c r="BDW51" s="66"/>
      <c r="BDX51" s="41"/>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40"/>
      <c r="BEY51" s="66"/>
      <c r="BEZ51" s="66"/>
      <c r="BFA51" s="66"/>
      <c r="BFB51" s="41"/>
      <c r="BFC51" s="134"/>
      <c r="BFD51" s="41"/>
      <c r="BFE51" s="41"/>
      <c r="BFF51" s="41"/>
      <c r="BFG51" s="41"/>
      <c r="BFH51" s="41"/>
      <c r="BFI51" s="139"/>
      <c r="BFJ51" s="41"/>
      <c r="BFK51" s="41"/>
      <c r="BFL51" s="41"/>
      <c r="BFM51" s="41"/>
      <c r="BFN51" s="41"/>
      <c r="BFO51" s="76"/>
      <c r="BFP51" s="41"/>
      <c r="BFQ51" s="41"/>
      <c r="BFR51" s="41"/>
      <c r="BFS51" s="41"/>
      <c r="BFT51" s="41"/>
      <c r="BFU51" s="139"/>
      <c r="BFV51" s="41"/>
      <c r="BFW51" s="41"/>
      <c r="BFX51" s="41"/>
      <c r="BFY51" s="41"/>
      <c r="BFZ51" s="41"/>
      <c r="BGA51" s="76"/>
      <c r="BGB51" s="66"/>
      <c r="BGC51" s="66"/>
      <c r="BGD51" s="66"/>
      <c r="BGE51" s="66"/>
      <c r="BGF51" s="41"/>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40"/>
      <c r="BHG51" s="66"/>
      <c r="BHH51" s="66"/>
      <c r="BHI51" s="66"/>
      <c r="BHJ51" s="41"/>
      <c r="BHK51" s="134"/>
      <c r="BHL51" s="41"/>
      <c r="BHM51" s="41"/>
      <c r="BHN51" s="41"/>
      <c r="BHO51" s="41"/>
      <c r="BHP51" s="41"/>
      <c r="BHQ51" s="139"/>
      <c r="BHR51" s="41"/>
      <c r="BHS51" s="41"/>
      <c r="BHT51" s="41"/>
      <c r="BHU51" s="41"/>
      <c r="BHV51" s="41"/>
      <c r="BHW51" s="76"/>
      <c r="BHX51" s="41"/>
      <c r="BHY51" s="41"/>
      <c r="BHZ51" s="41"/>
      <c r="BIA51" s="41"/>
      <c r="BIB51" s="41"/>
      <c r="BIC51" s="139"/>
      <c r="BID51" s="41"/>
      <c r="BIE51" s="41"/>
      <c r="BIF51" s="41"/>
      <c r="BIG51" s="41"/>
      <c r="BIH51" s="41"/>
      <c r="BII51" s="76"/>
      <c r="BIJ51" s="66"/>
      <c r="BIK51" s="66"/>
      <c r="BIL51" s="66"/>
      <c r="BIM51" s="66"/>
      <c r="BIN51" s="41"/>
      <c r="BIO51" s="139"/>
      <c r="BIP51" s="41"/>
      <c r="BIQ51" s="41"/>
      <c r="BIR51" s="41"/>
      <c r="BIS51" s="41"/>
      <c r="BIT51" s="41"/>
      <c r="BIU51" s="76"/>
      <c r="BIV51" s="41"/>
      <c r="BIW51" s="41"/>
      <c r="BIX51" s="41"/>
      <c r="BIY51" s="41"/>
      <c r="BIZ51" s="41"/>
      <c r="BJA51" s="139"/>
      <c r="BJB51" s="41"/>
      <c r="BJC51" s="41"/>
      <c r="BJD51" s="41"/>
      <c r="BJE51" s="41"/>
      <c r="BJF51" s="41"/>
      <c r="BJG51" s="76"/>
      <c r="BJH51" s="41"/>
      <c r="BJI51" s="41"/>
      <c r="BJJ51" s="41"/>
      <c r="BJK51" s="41"/>
      <c r="BJL51" s="41"/>
      <c r="BJM51" s="42"/>
      <c r="BJN51" s="40"/>
      <c r="BJO51" s="66"/>
      <c r="BJP51" s="66"/>
      <c r="BJQ51" s="66"/>
      <c r="BJR51" s="41"/>
      <c r="BJS51" s="134"/>
      <c r="BJT51" s="41"/>
      <c r="BJU51" s="41"/>
      <c r="BJV51" s="41"/>
      <c r="BJW51" s="41"/>
      <c r="BJX51" s="41"/>
      <c r="BJY51" s="139"/>
      <c r="BJZ51" s="41"/>
      <c r="BKA51" s="41"/>
      <c r="BKB51" s="41"/>
      <c r="BKC51" s="41"/>
      <c r="BKD51" s="41"/>
      <c r="BKE51" s="76"/>
      <c r="BKF51" s="41"/>
      <c r="BKG51" s="41"/>
      <c r="BKH51" s="41"/>
      <c r="BKI51" s="41"/>
      <c r="BKJ51" s="41"/>
      <c r="BKK51" s="139"/>
      <c r="BKL51" s="41"/>
      <c r="BKM51" s="41"/>
      <c r="BKN51" s="41"/>
      <c r="BKO51" s="41"/>
      <c r="BKP51" s="41"/>
      <c r="BKQ51" s="76"/>
      <c r="BKR51" s="66"/>
      <c r="BKS51" s="66"/>
      <c r="BKT51" s="66"/>
      <c r="BKU51" s="66"/>
      <c r="BKV51" s="41"/>
      <c r="BKW51" s="139"/>
      <c r="BKX51" s="41"/>
      <c r="BKY51" s="41"/>
      <c r="BKZ51" s="41"/>
      <c r="BLA51" s="41"/>
      <c r="BLB51" s="41"/>
      <c r="BLC51" s="76"/>
      <c r="BLD51" s="41"/>
      <c r="BLE51" s="41"/>
      <c r="BLF51" s="41"/>
      <c r="BLG51" s="41"/>
      <c r="BLH51" s="41"/>
      <c r="BLI51" s="139"/>
      <c r="BLJ51" s="41"/>
      <c r="BLK51" s="41"/>
      <c r="BLL51" s="41"/>
      <c r="BLM51" s="41"/>
      <c r="BLN51" s="41"/>
      <c r="BLO51" s="76"/>
      <c r="BLP51" s="41"/>
      <c r="BLQ51" s="41"/>
      <c r="BLR51" s="41"/>
      <c r="BLS51" s="41"/>
      <c r="BLT51" s="41"/>
      <c r="BLU51" s="42"/>
      <c r="BLV51" s="90"/>
    </row>
    <row r="52" spans="1:1686" ht="20.100000000000001" customHeight="1" x14ac:dyDescent="0.25">
      <c r="A52" s="100" t="s">
        <v>18</v>
      </c>
      <c r="B52" s="63" t="str">
        <f>IF(LEN(C89)=0,"",C89)</f>
        <v/>
      </c>
      <c r="C52" s="207"/>
      <c r="D52" s="147"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29"/>
      <c r="AGI52" s="29"/>
      <c r="AGJ52" s="29"/>
      <c r="AGK52" s="136"/>
      <c r="AGL52" s="29"/>
      <c r="AGM52" s="29"/>
      <c r="AGN52" s="29"/>
      <c r="AGO52" s="29"/>
      <c r="AGP52" s="29"/>
      <c r="AGQ52" s="75"/>
      <c r="AGR52" s="67"/>
      <c r="AGS52" s="67"/>
      <c r="AGT52" s="67"/>
      <c r="AGU52" s="67"/>
      <c r="AGV52" s="29"/>
      <c r="AGW52" s="136"/>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8"/>
      <c r="AHW52" s="67"/>
      <c r="AHX52" s="67"/>
      <c r="AHY52" s="67"/>
      <c r="AHZ52" s="29"/>
      <c r="AIA52" s="131"/>
      <c r="AIB52" s="29"/>
      <c r="AIC52" s="29"/>
      <c r="AID52" s="29"/>
      <c r="AIE52" s="29"/>
      <c r="AIF52" s="29"/>
      <c r="AIG52" s="136"/>
      <c r="AIH52" s="29"/>
      <c r="AII52" s="29"/>
      <c r="AIJ52" s="29"/>
      <c r="AIK52" s="29"/>
      <c r="AIL52" s="29"/>
      <c r="AIM52" s="75"/>
      <c r="AIN52" s="29"/>
      <c r="AIO52" s="29"/>
      <c r="AIP52" s="29"/>
      <c r="AIQ52" s="29"/>
      <c r="AIR52" s="29"/>
      <c r="AIS52" s="136"/>
      <c r="AIT52" s="29"/>
      <c r="AIU52" s="29"/>
      <c r="AIV52" s="29"/>
      <c r="AIW52" s="29"/>
      <c r="AIX52" s="29"/>
      <c r="AIY52" s="75"/>
      <c r="AIZ52" s="67"/>
      <c r="AJA52" s="67"/>
      <c r="AJB52" s="67"/>
      <c r="AJC52" s="67"/>
      <c r="AJD52" s="29"/>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29"/>
      <c r="API52" s="29"/>
      <c r="APJ52" s="2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28"/>
      <c r="BHG52" s="67"/>
      <c r="BHH52" s="67"/>
      <c r="BHI52" s="67"/>
      <c r="BHJ52" s="29"/>
      <c r="BHK52" s="131"/>
      <c r="BHL52" s="29"/>
      <c r="BHM52" s="29"/>
      <c r="BHN52" s="29"/>
      <c r="BHO52" s="29"/>
      <c r="BHP52" s="29"/>
      <c r="BHQ52" s="136"/>
      <c r="BHR52" s="29"/>
      <c r="BHS52" s="29"/>
      <c r="BHT52" s="29"/>
      <c r="BHU52" s="29"/>
      <c r="BHV52" s="29"/>
      <c r="BHW52" s="75"/>
      <c r="BHX52" s="29"/>
      <c r="BHY52" s="29"/>
      <c r="BHZ52" s="29"/>
      <c r="BIA52" s="29"/>
      <c r="BIB52" s="29"/>
      <c r="BIC52" s="136"/>
      <c r="BID52" s="29"/>
      <c r="BIE52" s="29"/>
      <c r="BIF52" s="29"/>
      <c r="BIG52" s="29"/>
      <c r="BIH52" s="29"/>
      <c r="BII52" s="75"/>
      <c r="BIJ52" s="67"/>
      <c r="BIK52" s="67"/>
      <c r="BIL52" s="67"/>
      <c r="BIM52" s="67"/>
      <c r="BIN52" s="29"/>
      <c r="BIO52" s="136"/>
      <c r="BIP52" s="29"/>
      <c r="BIQ52" s="29"/>
      <c r="BIR52" s="29"/>
      <c r="BIS52" s="29"/>
      <c r="BIT52" s="37"/>
      <c r="BIU52" s="75"/>
      <c r="BIV52" s="29"/>
      <c r="BIW52" s="29"/>
      <c r="BIX52" s="29"/>
      <c r="BIY52" s="29"/>
      <c r="BIZ52" s="29"/>
      <c r="BJA52" s="136"/>
      <c r="BJB52" s="29"/>
      <c r="BJC52" s="29"/>
      <c r="BJD52" s="29"/>
      <c r="BJE52" s="29"/>
      <c r="BJF52" s="29"/>
      <c r="BJG52" s="75"/>
      <c r="BJH52" s="29"/>
      <c r="BJI52" s="29"/>
      <c r="BJJ52" s="29"/>
      <c r="BJK52" s="29"/>
      <c r="BJL52" s="29"/>
      <c r="BJM52" s="30"/>
      <c r="BJN52" s="28"/>
      <c r="BJO52" s="67"/>
      <c r="BJP52" s="67"/>
      <c r="BJQ52" s="67"/>
      <c r="BJR52" s="29"/>
      <c r="BJS52" s="131"/>
      <c r="BJT52" s="29"/>
      <c r="BJU52" s="29"/>
      <c r="BJV52" s="29"/>
      <c r="BJW52" s="29"/>
      <c r="BJX52" s="29"/>
      <c r="BJY52" s="136"/>
      <c r="BJZ52" s="29"/>
      <c r="BKA52" s="29"/>
      <c r="BKB52" s="29"/>
      <c r="BKC52" s="29"/>
      <c r="BKD52" s="29"/>
      <c r="BKE52" s="75"/>
      <c r="BKF52" s="29"/>
      <c r="BKG52" s="29"/>
      <c r="BKH52" s="29"/>
      <c r="BKI52" s="29"/>
      <c r="BKJ52" s="29"/>
      <c r="BKK52" s="136"/>
      <c r="BKL52" s="29"/>
      <c r="BKM52" s="29"/>
      <c r="BKN52" s="29"/>
      <c r="BKO52" s="29"/>
      <c r="BKP52" s="29"/>
      <c r="BKQ52" s="75"/>
      <c r="BKR52" s="67"/>
      <c r="BKS52" s="67"/>
      <c r="BKT52" s="67"/>
      <c r="BKU52" s="67"/>
      <c r="BKV52" s="29"/>
      <c r="BKW52" s="136"/>
      <c r="BKX52" s="29"/>
      <c r="BKY52" s="29"/>
      <c r="BKZ52" s="29"/>
      <c r="BLA52" s="29"/>
      <c r="BLB52" s="37"/>
      <c r="BLC52" s="75"/>
      <c r="BLD52" s="29"/>
      <c r="BLE52" s="29"/>
      <c r="BLF52" s="29"/>
      <c r="BLG52" s="29"/>
      <c r="BLH52" s="29"/>
      <c r="BLI52" s="136"/>
      <c r="BLJ52" s="29"/>
      <c r="BLK52" s="29"/>
      <c r="BLL52" s="29"/>
      <c r="BLM52" s="29"/>
      <c r="BLN52" s="29"/>
      <c r="BLO52" s="75"/>
      <c r="BLP52" s="29"/>
      <c r="BLQ52" s="29"/>
      <c r="BLR52" s="29"/>
      <c r="BLS52" s="29"/>
      <c r="BLT52" s="29"/>
      <c r="BLU52" s="30"/>
      <c r="BLV52" s="90"/>
    </row>
    <row r="53" spans="1:1686" ht="20.100000000000001" customHeight="1" x14ac:dyDescent="0.25">
      <c r="A53" s="100" t="s">
        <v>17</v>
      </c>
      <c r="B53" s="63" t="str">
        <f>IF(LEN(C91)=0,"",C91)</f>
        <v/>
      </c>
      <c r="C53" s="205" t="s">
        <v>142</v>
      </c>
      <c r="D53" s="146" t="str">
        <f t="shared" si="0"/>
        <v>3h25min</v>
      </c>
      <c r="E53" s="31">
        <v>41</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32"/>
      <c r="ADG53" s="64"/>
      <c r="ADH53" s="64"/>
      <c r="ADI53" s="64"/>
      <c r="ADJ53" s="33"/>
      <c r="ADK53" s="132"/>
      <c r="ADL53" s="33"/>
      <c r="ADM53" s="33"/>
      <c r="ADN53" s="33"/>
      <c r="ADO53" s="33"/>
      <c r="ADP53" s="33"/>
      <c r="ADQ53" s="137"/>
      <c r="ADR53" s="33"/>
      <c r="ADS53" s="33"/>
      <c r="ADT53" s="33"/>
      <c r="ADU53" s="33"/>
      <c r="ADV53" s="33"/>
      <c r="ADW53" s="74"/>
      <c r="ADX53" s="33"/>
      <c r="ADY53" s="33"/>
      <c r="ADZ53" s="33"/>
      <c r="AEA53" s="33"/>
      <c r="AEB53" s="33"/>
      <c r="AEC53" s="137"/>
      <c r="AED53" s="33"/>
      <c r="AEE53" s="33"/>
      <c r="AEF53" s="33"/>
      <c r="AEG53" s="33"/>
      <c r="AEH53" s="33"/>
      <c r="AEI53" s="74"/>
      <c r="AEJ53" s="64"/>
      <c r="AEK53" s="64"/>
      <c r="AEL53" s="64"/>
      <c r="AEM53" s="64"/>
      <c r="AEN53" s="33"/>
      <c r="AEO53" s="137"/>
      <c r="AEP53" s="167"/>
      <c r="AEQ53" s="167"/>
      <c r="AER53" s="167"/>
      <c r="AES53" s="167"/>
      <c r="AET53" s="167"/>
      <c r="AEU53" s="182"/>
      <c r="AEV53" s="167"/>
      <c r="AEW53" s="167"/>
      <c r="AEX53" s="167"/>
      <c r="AEY53" s="167"/>
      <c r="AEZ53" s="167"/>
      <c r="AFA53" s="181"/>
      <c r="AFB53" s="33"/>
      <c r="AFC53" s="33"/>
      <c r="AFD53" s="33"/>
      <c r="AFE53" s="33"/>
      <c r="AFF53" s="33"/>
      <c r="AFG53" s="74"/>
      <c r="AFH53" s="33"/>
      <c r="AFI53" s="33"/>
      <c r="AFJ53" s="33"/>
      <c r="AFK53" s="33"/>
      <c r="AFL53" s="33"/>
      <c r="AFM53" s="34"/>
      <c r="AFN53" s="165"/>
      <c r="AFO53" s="166"/>
      <c r="AFP53" s="166"/>
      <c r="AFQ53" s="166"/>
      <c r="AFR53" s="167"/>
      <c r="AFS53" s="168"/>
      <c r="AFT53" s="167"/>
      <c r="AFU53" s="167"/>
      <c r="AFV53" s="167"/>
      <c r="AFW53" s="33"/>
      <c r="AFX53" s="33"/>
      <c r="AFY53" s="137"/>
      <c r="AFZ53" s="33"/>
      <c r="AGA53" s="33"/>
      <c r="AGB53" s="33"/>
      <c r="AGC53" s="33"/>
      <c r="AGD53" s="33"/>
      <c r="AGE53" s="74"/>
      <c r="AGF53" s="167"/>
      <c r="AGG53" s="167"/>
      <c r="AGH53" s="167"/>
      <c r="AGI53" s="167"/>
      <c r="AGJ53" s="167"/>
      <c r="AGK53" s="181"/>
      <c r="AGL53" s="167"/>
      <c r="AGM53" s="167"/>
      <c r="AGN53" s="167"/>
      <c r="AGO53" s="167"/>
      <c r="AGP53" s="167"/>
      <c r="AGQ53" s="182"/>
      <c r="AGR53" s="166"/>
      <c r="AGS53" s="166"/>
      <c r="AGT53" s="166"/>
      <c r="AGU53" s="166"/>
      <c r="AGV53" s="167"/>
      <c r="AGW53" s="181"/>
      <c r="AGX53" s="167"/>
      <c r="AGY53" s="167"/>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64"/>
      <c r="AJA53" s="64"/>
      <c r="AJB53" s="64"/>
      <c r="AJC53" s="64"/>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32"/>
      <c r="BHG53" s="64"/>
      <c r="BHH53" s="64"/>
      <c r="BHI53" s="64"/>
      <c r="BHJ53" s="33"/>
      <c r="BHK53" s="132"/>
      <c r="BHL53" s="33"/>
      <c r="BHM53" s="33"/>
      <c r="BHN53" s="33"/>
      <c r="BHO53" s="33"/>
      <c r="BHP53" s="33"/>
      <c r="BHQ53" s="137"/>
      <c r="BHR53" s="33"/>
      <c r="BHS53" s="33"/>
      <c r="BHT53" s="33"/>
      <c r="BHU53" s="33"/>
      <c r="BHV53" s="33"/>
      <c r="BHW53" s="74"/>
      <c r="BHX53" s="33"/>
      <c r="BHY53" s="33"/>
      <c r="BHZ53" s="33"/>
      <c r="BIA53" s="33"/>
      <c r="BIB53" s="33"/>
      <c r="BIC53" s="137"/>
      <c r="BID53" s="33"/>
      <c r="BIE53" s="33"/>
      <c r="BIF53" s="33"/>
      <c r="BIG53" s="33"/>
      <c r="BIH53" s="33"/>
      <c r="BII53" s="74"/>
      <c r="BIJ53" s="64"/>
      <c r="BIK53" s="64"/>
      <c r="BIL53" s="64"/>
      <c r="BIM53" s="64"/>
      <c r="BIN53" s="33"/>
      <c r="BIO53" s="137"/>
      <c r="BIP53" s="33"/>
      <c r="BIQ53" s="33"/>
      <c r="BIR53" s="33"/>
      <c r="BIS53" s="33"/>
      <c r="BIT53" s="33"/>
      <c r="BIU53" s="74"/>
      <c r="BIV53" s="33"/>
      <c r="BIW53" s="33"/>
      <c r="BIX53" s="33"/>
      <c r="BIY53" s="33"/>
      <c r="BIZ53" s="33"/>
      <c r="BJA53" s="137"/>
      <c r="BJB53" s="33"/>
      <c r="BJC53" s="33"/>
      <c r="BJD53" s="33"/>
      <c r="BJE53" s="33"/>
      <c r="BJF53" s="33"/>
      <c r="BJG53" s="74"/>
      <c r="BJH53" s="33"/>
      <c r="BJI53" s="33"/>
      <c r="BJJ53" s="33"/>
      <c r="BJK53" s="33"/>
      <c r="BJL53" s="33"/>
      <c r="BJM53" s="34"/>
      <c r="BJN53" s="32"/>
      <c r="BJO53" s="64"/>
      <c r="BJP53" s="64"/>
      <c r="BJQ53" s="64"/>
      <c r="BJR53" s="33"/>
      <c r="BJS53" s="132"/>
      <c r="BJT53" s="33"/>
      <c r="BJU53" s="33"/>
      <c r="BJV53" s="33"/>
      <c r="BJW53" s="33"/>
      <c r="BJX53" s="33"/>
      <c r="BJY53" s="137"/>
      <c r="BJZ53" s="33"/>
      <c r="BKA53" s="33"/>
      <c r="BKB53" s="33"/>
      <c r="BKC53" s="33"/>
      <c r="BKD53" s="33"/>
      <c r="BKE53" s="74"/>
      <c r="BKF53" s="33"/>
      <c r="BKG53" s="33"/>
      <c r="BKH53" s="33"/>
      <c r="BKI53" s="33"/>
      <c r="BKJ53" s="33"/>
      <c r="BKK53" s="137"/>
      <c r="BKL53" s="33"/>
      <c r="BKM53" s="33"/>
      <c r="BKN53" s="33"/>
      <c r="BKO53" s="33"/>
      <c r="BKP53" s="33"/>
      <c r="BKQ53" s="74"/>
      <c r="BKR53" s="64"/>
      <c r="BKS53" s="64"/>
      <c r="BKT53" s="64"/>
      <c r="BKU53" s="64"/>
      <c r="BKV53" s="33"/>
      <c r="BKW53" s="137"/>
      <c r="BKX53" s="33"/>
      <c r="BKY53" s="33"/>
      <c r="BKZ53" s="33"/>
      <c r="BLA53" s="33"/>
      <c r="BLB53" s="33"/>
      <c r="BLC53" s="74"/>
      <c r="BLD53" s="33"/>
      <c r="BLE53" s="33"/>
      <c r="BLF53" s="33"/>
      <c r="BLG53" s="33"/>
      <c r="BLH53" s="33"/>
      <c r="BLI53" s="137"/>
      <c r="BLJ53" s="33"/>
      <c r="BLK53" s="33"/>
      <c r="BLL53" s="33"/>
      <c r="BLM53" s="33"/>
      <c r="BLN53" s="33"/>
      <c r="BLO53" s="74"/>
      <c r="BLP53" s="33"/>
      <c r="BLQ53" s="33"/>
      <c r="BLR53" s="33"/>
      <c r="BLS53" s="33"/>
      <c r="BLT53" s="33"/>
      <c r="BLU53" s="34"/>
      <c r="BLV53" s="90"/>
    </row>
    <row r="54" spans="1:1686" ht="20.100000000000001" customHeight="1" x14ac:dyDescent="0.3">
      <c r="A54" s="100" t="s">
        <v>18</v>
      </c>
      <c r="B54" s="63" t="str">
        <f>IF(LEN(C93)=0,"",C93)</f>
        <v/>
      </c>
      <c r="C54" s="207"/>
      <c r="D54" s="148"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65"/>
      <c r="AHX54" s="65"/>
      <c r="AHY54" s="65"/>
      <c r="AHZ54" s="37"/>
      <c r="AIA54" s="133"/>
      <c r="AIB54" s="37"/>
      <c r="AIC54" s="37"/>
      <c r="AID54" s="37"/>
      <c r="AIE54" s="37"/>
      <c r="AIF54" s="37"/>
      <c r="AIG54" s="138"/>
      <c r="AIH54" s="37"/>
      <c r="AII54" s="37"/>
      <c r="AIJ54" s="37"/>
      <c r="AIK54" s="37"/>
      <c r="AIL54" s="37"/>
      <c r="AIM54" s="75"/>
      <c r="AIN54" s="37"/>
      <c r="AIO54" s="37"/>
      <c r="AIP54" s="37"/>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65"/>
      <c r="ANS54" s="65"/>
      <c r="ANT54" s="37"/>
      <c r="ANU54" s="138"/>
      <c r="ANV54" s="37"/>
      <c r="ANW54" s="37"/>
      <c r="ANX54" s="37"/>
      <c r="ANY54" s="37"/>
      <c r="ANZ54" s="37"/>
      <c r="AOA54" s="75"/>
      <c r="AOB54" s="37"/>
      <c r="AOC54" s="37"/>
      <c r="AOD54" s="37"/>
      <c r="AOE54" s="37"/>
      <c r="AOF54" s="37"/>
      <c r="AOG54" s="138"/>
      <c r="AOH54" s="37"/>
      <c r="AOI54" s="37"/>
      <c r="AOJ54" s="37"/>
      <c r="AOK54" s="37"/>
      <c r="AOL54" s="37"/>
      <c r="AOM54" s="75"/>
      <c r="AON54" s="37"/>
      <c r="AOO54" s="37"/>
      <c r="AOP54" s="37"/>
      <c r="AOQ54" s="37"/>
      <c r="AOR54" s="37"/>
      <c r="AOS54" s="38"/>
      <c r="AOT54" s="36"/>
      <c r="AOU54" s="65"/>
      <c r="AOV54" s="65"/>
      <c r="AOW54" s="65"/>
      <c r="AOX54" s="37"/>
      <c r="AOY54" s="133"/>
      <c r="AOZ54" s="37"/>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37"/>
      <c r="AQE54" s="37"/>
      <c r="AQF54" s="37"/>
      <c r="AQG54" s="37"/>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36"/>
      <c r="BHG54" s="65"/>
      <c r="BHH54" s="65"/>
      <c r="BHI54" s="65"/>
      <c r="BHJ54" s="37"/>
      <c r="BHK54" s="133"/>
      <c r="BHL54" s="37"/>
      <c r="BHM54" s="37"/>
      <c r="BHN54" s="37"/>
      <c r="BHO54" s="37"/>
      <c r="BHP54" s="37"/>
      <c r="BHQ54" s="138"/>
      <c r="BHR54" s="37"/>
      <c r="BHS54" s="37"/>
      <c r="BHT54" s="37"/>
      <c r="BHU54" s="37"/>
      <c r="BHV54" s="37"/>
      <c r="BHW54" s="75"/>
      <c r="BHX54" s="37"/>
      <c r="BHY54" s="37"/>
      <c r="BHZ54" s="37"/>
      <c r="BIA54" s="37"/>
      <c r="BIB54" s="37"/>
      <c r="BIC54" s="138"/>
      <c r="BID54" s="37"/>
      <c r="BIE54" s="37"/>
      <c r="BIF54" s="37"/>
      <c r="BIG54" s="37"/>
      <c r="BIH54" s="37"/>
      <c r="BII54" s="75"/>
      <c r="BIJ54" s="65"/>
      <c r="BIK54" s="65"/>
      <c r="BIL54" s="65"/>
      <c r="BIM54" s="65"/>
      <c r="BIN54" s="37"/>
      <c r="BIO54" s="138"/>
      <c r="BIP54" s="37"/>
      <c r="BIQ54" s="37"/>
      <c r="BIR54" s="37"/>
      <c r="BIS54" s="37"/>
      <c r="BIT54" s="37"/>
      <c r="BIU54" s="75"/>
      <c r="BIV54" s="37"/>
      <c r="BIW54" s="37"/>
      <c r="BIX54" s="37"/>
      <c r="BIY54" s="37"/>
      <c r="BIZ54" s="37"/>
      <c r="BJA54" s="138"/>
      <c r="BJB54" s="37"/>
      <c r="BJC54" s="37"/>
      <c r="BJD54" s="37"/>
      <c r="BJE54" s="37"/>
      <c r="BJF54" s="37"/>
      <c r="BJG54" s="75"/>
      <c r="BJH54" s="37"/>
      <c r="BJI54" s="37"/>
      <c r="BJJ54" s="37"/>
      <c r="BJK54" s="37"/>
      <c r="BJL54" s="37"/>
      <c r="BJM54" s="38"/>
      <c r="BJN54" s="36"/>
      <c r="BJO54" s="65"/>
      <c r="BJP54" s="65"/>
      <c r="BJQ54" s="65"/>
      <c r="BJR54" s="37"/>
      <c r="BJS54" s="133"/>
      <c r="BJT54" s="37"/>
      <c r="BJU54" s="37"/>
      <c r="BJV54" s="37"/>
      <c r="BJW54" s="37"/>
      <c r="BJX54" s="37"/>
      <c r="BJY54" s="138"/>
      <c r="BJZ54" s="37"/>
      <c r="BKA54" s="37"/>
      <c r="BKB54" s="37"/>
      <c r="BKC54" s="37"/>
      <c r="BKD54" s="37"/>
      <c r="BKE54" s="75"/>
      <c r="BKF54" s="37"/>
      <c r="BKG54" s="37"/>
      <c r="BKH54" s="37"/>
      <c r="BKI54" s="37"/>
      <c r="BKJ54" s="37"/>
      <c r="BKK54" s="138"/>
      <c r="BKL54" s="37"/>
      <c r="BKM54" s="37"/>
      <c r="BKN54" s="37"/>
      <c r="BKO54" s="37"/>
      <c r="BKP54" s="37"/>
      <c r="BKQ54" s="75"/>
      <c r="BKR54" s="65"/>
      <c r="BKS54" s="65"/>
      <c r="BKT54" s="65"/>
      <c r="BKU54" s="65"/>
      <c r="BKV54" s="37"/>
      <c r="BKW54" s="138"/>
      <c r="BKX54" s="37"/>
      <c r="BKY54" s="37"/>
      <c r="BKZ54" s="37"/>
      <c r="BLA54" s="37"/>
      <c r="BLB54" s="37"/>
      <c r="BLC54" s="75"/>
      <c r="BLD54" s="37"/>
      <c r="BLE54" s="37"/>
      <c r="BLF54" s="37"/>
      <c r="BLG54" s="37"/>
      <c r="BLH54" s="37"/>
      <c r="BLI54" s="138"/>
      <c r="BLJ54" s="37"/>
      <c r="BLK54" s="37"/>
      <c r="BLL54" s="37"/>
      <c r="BLM54" s="37"/>
      <c r="BLN54" s="37"/>
      <c r="BLO54" s="75"/>
      <c r="BLP54" s="37"/>
      <c r="BLQ54" s="37"/>
      <c r="BLR54" s="37"/>
      <c r="BLS54" s="37"/>
      <c r="BLT54" s="37"/>
      <c r="BLU54" s="38"/>
      <c r="BLV54" s="90"/>
    </row>
    <row r="55" spans="1:1686" ht="20.100000000000001" customHeight="1" x14ac:dyDescent="0.25">
      <c r="A55" s="100" t="s">
        <v>17</v>
      </c>
      <c r="B55" s="63"/>
      <c r="C55" s="205" t="s">
        <v>143</v>
      </c>
      <c r="D55" s="146" t="str">
        <f t="shared" si="0"/>
        <v>3h15min</v>
      </c>
      <c r="E55" s="39">
        <v>39</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40"/>
      <c r="AAY55" s="66"/>
      <c r="AAZ55" s="66"/>
      <c r="ABA55" s="66"/>
      <c r="ABB55" s="41"/>
      <c r="ABC55" s="134"/>
      <c r="ABD55" s="41"/>
      <c r="ABE55" s="41"/>
      <c r="ABF55" s="41"/>
      <c r="ABG55" s="41"/>
      <c r="ABH55" s="41"/>
      <c r="ABI55" s="139"/>
      <c r="ABJ55" s="41"/>
      <c r="ABK55" s="41"/>
      <c r="ABL55" s="41"/>
      <c r="ABM55" s="41"/>
      <c r="ABN55" s="41"/>
      <c r="ABO55" s="76"/>
      <c r="ABP55" s="41"/>
      <c r="ABQ55" s="41"/>
      <c r="ABR55" s="41"/>
      <c r="ABS55" s="41"/>
      <c r="ABT55" s="41"/>
      <c r="ABU55" s="139"/>
      <c r="ABV55" s="41"/>
      <c r="ABW55" s="41"/>
      <c r="ABX55" s="41"/>
      <c r="ABY55" s="41"/>
      <c r="ABZ55" s="41"/>
      <c r="ACA55" s="76"/>
      <c r="ACB55" s="66"/>
      <c r="ACC55" s="66"/>
      <c r="ACD55" s="66"/>
      <c r="ACE55" s="66"/>
      <c r="ACF55" s="41"/>
      <c r="ACG55" s="139"/>
      <c r="ACH55" s="41"/>
      <c r="ACI55" s="41"/>
      <c r="ACJ55" s="41"/>
      <c r="ACK55" s="41"/>
      <c r="ACL55" s="41"/>
      <c r="ACM55" s="76"/>
      <c r="ACN55" s="41"/>
      <c r="ACO55" s="41"/>
      <c r="ACP55" s="41"/>
      <c r="ACQ55" s="41"/>
      <c r="ACR55" s="41"/>
      <c r="ACS55" s="139"/>
      <c r="ACT55" s="41"/>
      <c r="ACU55" s="41"/>
      <c r="ACV55" s="41"/>
      <c r="ACW55" s="41"/>
      <c r="ACX55" s="41"/>
      <c r="ACY55" s="76"/>
      <c r="ACZ55" s="41"/>
      <c r="ADA55" s="41"/>
      <c r="ADB55" s="41"/>
      <c r="ADC55" s="41"/>
      <c r="ADD55" s="41"/>
      <c r="ADE55" s="42"/>
      <c r="ADF55" s="40"/>
      <c r="ADG55" s="66"/>
      <c r="ADH55" s="66"/>
      <c r="ADI55" s="66"/>
      <c r="ADJ55" s="41"/>
      <c r="ADK55" s="134"/>
      <c r="ADL55" s="41"/>
      <c r="ADM55" s="41"/>
      <c r="ADN55" s="41"/>
      <c r="ADO55" s="41"/>
      <c r="ADP55" s="41"/>
      <c r="ADQ55" s="139"/>
      <c r="ADR55" s="41"/>
      <c r="ADS55" s="41"/>
      <c r="ADT55" s="41"/>
      <c r="ADU55" s="41"/>
      <c r="ADV55" s="41"/>
      <c r="ADW55" s="76"/>
      <c r="ADX55" s="41"/>
      <c r="ADY55" s="41"/>
      <c r="ADZ55" s="41"/>
      <c r="AEA55" s="41"/>
      <c r="AEB55" s="41"/>
      <c r="AEC55" s="139"/>
      <c r="AED55" s="41"/>
      <c r="AEE55" s="41"/>
      <c r="AEF55" s="41"/>
      <c r="AEG55" s="41"/>
      <c r="AEH55" s="41"/>
      <c r="AEI55" s="76"/>
      <c r="AEJ55" s="66"/>
      <c r="AEK55" s="66"/>
      <c r="AEL55" s="66"/>
      <c r="AEM55" s="66"/>
      <c r="AEN55" s="41"/>
      <c r="AEO55" s="13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40"/>
      <c r="AFO55" s="66"/>
      <c r="AFP55" s="66"/>
      <c r="AFQ55" s="66"/>
      <c r="AFR55" s="41"/>
      <c r="AFS55" s="134"/>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175"/>
      <c r="AHW55" s="176"/>
      <c r="AHX55" s="176"/>
      <c r="AHY55" s="176"/>
      <c r="AHZ55" s="177"/>
      <c r="AIA55" s="178"/>
      <c r="AIB55" s="177"/>
      <c r="AIC55" s="177"/>
      <c r="AID55" s="177"/>
      <c r="AIE55" s="177"/>
      <c r="AIF55" s="177"/>
      <c r="AIG55" s="179"/>
      <c r="AIH55" s="177"/>
      <c r="AII55" s="177"/>
      <c r="AIJ55" s="177"/>
      <c r="AIK55" s="177"/>
      <c r="AIL55" s="177"/>
      <c r="AIM55" s="180"/>
      <c r="AIN55" s="177"/>
      <c r="AIO55" s="177"/>
      <c r="AIP55" s="177"/>
      <c r="AIQ55" s="177"/>
      <c r="AIR55" s="177"/>
      <c r="AIS55" s="179"/>
      <c r="AIT55" s="177"/>
      <c r="AIU55" s="177"/>
      <c r="AIV55" s="177"/>
      <c r="AIW55" s="177"/>
      <c r="AIX55" s="177"/>
      <c r="AIY55" s="180"/>
      <c r="AIZ55" s="176"/>
      <c r="AJA55" s="176"/>
      <c r="AJB55" s="176"/>
      <c r="AJC55" s="176"/>
      <c r="AJD55" s="177"/>
      <c r="AJE55" s="179"/>
      <c r="AJF55" s="177"/>
      <c r="AJG55" s="177"/>
      <c r="AJH55" s="177"/>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41"/>
      <c r="ARI55" s="41"/>
      <c r="ARJ55" s="41"/>
      <c r="ARK55" s="41"/>
      <c r="ARL55" s="41"/>
      <c r="ARM55" s="139"/>
      <c r="ARN55" s="41"/>
      <c r="ARO55" s="41"/>
      <c r="ARP55" s="41"/>
      <c r="ARQ55" s="41"/>
      <c r="ARR55" s="41"/>
      <c r="ARS55" s="76"/>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40"/>
      <c r="BHG55" s="66"/>
      <c r="BHH55" s="66"/>
      <c r="BHI55" s="66"/>
      <c r="BHJ55" s="41"/>
      <c r="BHK55" s="134"/>
      <c r="BHL55" s="41"/>
      <c r="BHM55" s="41"/>
      <c r="BHN55" s="41"/>
      <c r="BHO55" s="41"/>
      <c r="BHP55" s="41"/>
      <c r="BHQ55" s="139"/>
      <c r="BHR55" s="41"/>
      <c r="BHS55" s="41"/>
      <c r="BHT55" s="41"/>
      <c r="BHU55" s="41"/>
      <c r="BHV55" s="41"/>
      <c r="BHW55" s="76"/>
      <c r="BHX55" s="41"/>
      <c r="BHY55" s="41"/>
      <c r="BHZ55" s="41"/>
      <c r="BIA55" s="41"/>
      <c r="BIB55" s="41"/>
      <c r="BIC55" s="139"/>
      <c r="BID55" s="41"/>
      <c r="BIE55" s="41"/>
      <c r="BIF55" s="41"/>
      <c r="BIG55" s="41"/>
      <c r="BIH55" s="41"/>
      <c r="BII55" s="76"/>
      <c r="BIJ55" s="66"/>
      <c r="BIK55" s="66"/>
      <c r="BIL55" s="66"/>
      <c r="BIM55" s="66"/>
      <c r="BIN55" s="41"/>
      <c r="BIO55" s="139"/>
      <c r="BIP55" s="41"/>
      <c r="BIQ55" s="41"/>
      <c r="BIR55" s="41"/>
      <c r="BIS55" s="41"/>
      <c r="BIT55" s="41"/>
      <c r="BIU55" s="76"/>
      <c r="BIV55" s="41"/>
      <c r="BIW55" s="41"/>
      <c r="BIX55" s="41"/>
      <c r="BIY55" s="41"/>
      <c r="BIZ55" s="41"/>
      <c r="BJA55" s="139"/>
      <c r="BJB55" s="41"/>
      <c r="BJC55" s="41"/>
      <c r="BJD55" s="41"/>
      <c r="BJE55" s="41"/>
      <c r="BJF55" s="41"/>
      <c r="BJG55" s="76"/>
      <c r="BJH55" s="41"/>
      <c r="BJI55" s="41"/>
      <c r="BJJ55" s="41"/>
      <c r="BJK55" s="41"/>
      <c r="BJL55" s="41"/>
      <c r="BJM55" s="42"/>
      <c r="BJN55" s="40"/>
      <c r="BJO55" s="66"/>
      <c r="BJP55" s="66"/>
      <c r="BJQ55" s="66"/>
      <c r="BJR55" s="41"/>
      <c r="BJS55" s="134"/>
      <c r="BJT55" s="41"/>
      <c r="BJU55" s="41"/>
      <c r="BJV55" s="41"/>
      <c r="BJW55" s="41"/>
      <c r="BJX55" s="41"/>
      <c r="BJY55" s="139"/>
      <c r="BJZ55" s="41"/>
      <c r="BKA55" s="41"/>
      <c r="BKB55" s="41"/>
      <c r="BKC55" s="41"/>
      <c r="BKD55" s="41"/>
      <c r="BKE55" s="76"/>
      <c r="BKF55" s="41"/>
      <c r="BKG55" s="41"/>
      <c r="BKH55" s="41"/>
      <c r="BKI55" s="41"/>
      <c r="BKJ55" s="41"/>
      <c r="BKK55" s="139"/>
      <c r="BKL55" s="41"/>
      <c r="BKM55" s="41"/>
      <c r="BKN55" s="41"/>
      <c r="BKO55" s="41"/>
      <c r="BKP55" s="41"/>
      <c r="BKQ55" s="76"/>
      <c r="BKR55" s="66"/>
      <c r="BKS55" s="66"/>
      <c r="BKT55" s="66"/>
      <c r="BKU55" s="66"/>
      <c r="BKV55" s="41"/>
      <c r="BKW55" s="139"/>
      <c r="BKX55" s="41"/>
      <c r="BKY55" s="41"/>
      <c r="BKZ55" s="41"/>
      <c r="BLA55" s="41"/>
      <c r="BLB55" s="41"/>
      <c r="BLC55" s="76"/>
      <c r="BLD55" s="41"/>
      <c r="BLE55" s="41"/>
      <c r="BLF55" s="41"/>
      <c r="BLG55" s="41"/>
      <c r="BLH55" s="41"/>
      <c r="BLI55" s="139"/>
      <c r="BLJ55" s="41"/>
      <c r="BLK55" s="41"/>
      <c r="BLL55" s="41"/>
      <c r="BLM55" s="41"/>
      <c r="BLN55" s="41"/>
      <c r="BLO55" s="76"/>
      <c r="BLP55" s="41"/>
      <c r="BLQ55" s="41"/>
      <c r="BLR55" s="41"/>
      <c r="BLS55" s="41"/>
      <c r="BLT55" s="41"/>
      <c r="BLU55" s="42"/>
      <c r="BLV55" s="90"/>
    </row>
    <row r="56" spans="1:1686" ht="20.100000000000001" customHeight="1" x14ac:dyDescent="0.25">
      <c r="A56" s="100" t="s">
        <v>18</v>
      </c>
      <c r="B56" s="63"/>
      <c r="C56" s="207"/>
      <c r="D56" s="147"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28"/>
      <c r="AFO56" s="67"/>
      <c r="AFP56" s="67"/>
      <c r="AFQ56" s="67"/>
      <c r="AFR56" s="29"/>
      <c r="AFS56" s="131"/>
      <c r="AFT56" s="29"/>
      <c r="AFU56" s="29"/>
      <c r="AFV56" s="29"/>
      <c r="AFW56" s="29"/>
      <c r="AFX56" s="29"/>
      <c r="AFY56" s="136"/>
      <c r="AFZ56" s="29"/>
      <c r="AGA56" s="29"/>
      <c r="AGB56" s="29"/>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9"/>
      <c r="AIR56" s="29"/>
      <c r="AIS56" s="136"/>
      <c r="AIT56" s="29"/>
      <c r="AIU56" s="29"/>
      <c r="AIV56" s="29"/>
      <c r="AIW56" s="29"/>
      <c r="AIX56" s="29"/>
      <c r="AIY56" s="73"/>
      <c r="AIZ56" s="67"/>
      <c r="AJA56" s="67"/>
      <c r="AJB56" s="67"/>
      <c r="AJC56" s="67"/>
      <c r="AJD56" s="29"/>
      <c r="AJE56" s="136"/>
      <c r="AJF56" s="29"/>
      <c r="AJG56" s="29"/>
      <c r="AJH56" s="29"/>
      <c r="AJI56" s="29"/>
      <c r="AJJ56" s="29"/>
      <c r="AJK56" s="73"/>
      <c r="AJL56" s="29"/>
      <c r="AJM56" s="29"/>
      <c r="AJN56" s="29"/>
      <c r="AJO56" s="29"/>
      <c r="AJP56" s="29"/>
      <c r="AJQ56" s="136"/>
      <c r="AJR56" s="29"/>
      <c r="AJS56" s="29"/>
      <c r="AJT56" s="29"/>
      <c r="AJU56" s="29"/>
      <c r="AJV56" s="29"/>
      <c r="AJW56" s="73"/>
      <c r="AJX56" s="29"/>
      <c r="AJY56" s="29"/>
      <c r="AJZ56" s="29"/>
      <c r="AKA56" s="29"/>
      <c r="AKB56" s="29"/>
      <c r="AKC56" s="30"/>
      <c r="AKD56" s="28"/>
      <c r="AKE56" s="67"/>
      <c r="AKF56" s="67"/>
      <c r="AKG56" s="67"/>
      <c r="AKH56" s="29"/>
      <c r="AKI56" s="131"/>
      <c r="AKJ56" s="29"/>
      <c r="AKK56" s="29"/>
      <c r="AKL56" s="29"/>
      <c r="AKM56" s="29"/>
      <c r="AKN56" s="29"/>
      <c r="AKO56" s="136"/>
      <c r="AKP56" s="29"/>
      <c r="AKQ56" s="29"/>
      <c r="AKR56" s="29"/>
      <c r="AKS56" s="29"/>
      <c r="AKT56" s="29"/>
      <c r="AKU56" s="73"/>
      <c r="AKV56" s="29"/>
      <c r="AKW56" s="29"/>
      <c r="AKX56" s="29"/>
      <c r="AKY56" s="29"/>
      <c r="AKZ56" s="29"/>
      <c r="ALA56" s="136"/>
      <c r="ALB56" s="29"/>
      <c r="ALC56" s="29"/>
      <c r="ALD56" s="29"/>
      <c r="ALE56" s="29"/>
      <c r="ALF56" s="29"/>
      <c r="ALG56" s="73"/>
      <c r="ALH56" s="67"/>
      <c r="ALI56" s="6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8"/>
      <c r="AMM56" s="67"/>
      <c r="AMN56" s="67"/>
      <c r="AMO56" s="67"/>
      <c r="AMP56" s="29"/>
      <c r="AMQ56" s="131"/>
      <c r="AMR56" s="29"/>
      <c r="AMS56" s="29"/>
      <c r="AMT56" s="29"/>
      <c r="AMU56" s="29"/>
      <c r="AMV56" s="29"/>
      <c r="AMW56" s="136"/>
      <c r="AMX56" s="29"/>
      <c r="AMY56" s="29"/>
      <c r="AMZ56" s="29"/>
      <c r="ANA56" s="29"/>
      <c r="ANB56" s="29"/>
      <c r="ANC56" s="73"/>
      <c r="AND56" s="29"/>
      <c r="ANE56" s="29"/>
      <c r="ANF56" s="29"/>
      <c r="ANG56" s="29"/>
      <c r="ANH56" s="29"/>
      <c r="ANI56" s="136"/>
      <c r="ANJ56" s="29"/>
      <c r="ANK56" s="29"/>
      <c r="ANL56" s="29"/>
      <c r="ANM56" s="29"/>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67"/>
      <c r="AWZ56" s="29"/>
      <c r="AXA56" s="136"/>
      <c r="AXB56" s="29"/>
      <c r="AXC56" s="29"/>
      <c r="AXD56" s="29"/>
      <c r="AXE56" s="29"/>
      <c r="AXF56" s="29"/>
      <c r="AXG56" s="73"/>
      <c r="AXH56" s="29"/>
      <c r="AXI56" s="29"/>
      <c r="AXJ56" s="29"/>
      <c r="AXK56" s="29"/>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28"/>
      <c r="BHG56" s="67"/>
      <c r="BHH56" s="67"/>
      <c r="BHI56" s="67"/>
      <c r="BHJ56" s="29"/>
      <c r="BHK56" s="131"/>
      <c r="BHL56" s="29"/>
      <c r="BHM56" s="29"/>
      <c r="BHN56" s="29"/>
      <c r="BHO56" s="29"/>
      <c r="BHP56" s="29"/>
      <c r="BHQ56" s="136"/>
      <c r="BHR56" s="29"/>
      <c r="BHS56" s="29"/>
      <c r="BHT56" s="29"/>
      <c r="BHU56" s="29"/>
      <c r="BHV56" s="29"/>
      <c r="BHW56" s="73"/>
      <c r="BHX56" s="29"/>
      <c r="BHY56" s="29"/>
      <c r="BHZ56" s="29"/>
      <c r="BIA56" s="29"/>
      <c r="BIB56" s="29"/>
      <c r="BIC56" s="136"/>
      <c r="BID56" s="29"/>
      <c r="BIE56" s="29"/>
      <c r="BIF56" s="29"/>
      <c r="BIG56" s="29"/>
      <c r="BIH56" s="29"/>
      <c r="BII56" s="73"/>
      <c r="BIJ56" s="67"/>
      <c r="BIK56" s="67"/>
      <c r="BIL56" s="67"/>
      <c r="BIM56" s="67"/>
      <c r="BIN56" s="29"/>
      <c r="BIO56" s="136"/>
      <c r="BIP56" s="29"/>
      <c r="BIQ56" s="29"/>
      <c r="BIR56" s="29"/>
      <c r="BIS56" s="29"/>
      <c r="BIT56" s="29"/>
      <c r="BIU56" s="73"/>
      <c r="BIV56" s="29"/>
      <c r="BIW56" s="29"/>
      <c r="BIX56" s="29"/>
      <c r="BIY56" s="29"/>
      <c r="BIZ56" s="29"/>
      <c r="BJA56" s="136"/>
      <c r="BJB56" s="29"/>
      <c r="BJC56" s="29"/>
      <c r="BJD56" s="29"/>
      <c r="BJE56" s="29"/>
      <c r="BJF56" s="29"/>
      <c r="BJG56" s="73"/>
      <c r="BJH56" s="29"/>
      <c r="BJI56" s="29"/>
      <c r="BJJ56" s="29"/>
      <c r="BJK56" s="29"/>
      <c r="BJL56" s="29"/>
      <c r="BJM56" s="30"/>
      <c r="BJN56" s="28"/>
      <c r="BJO56" s="67"/>
      <c r="BJP56" s="67"/>
      <c r="BJQ56" s="67"/>
      <c r="BJR56" s="29"/>
      <c r="BJS56" s="131"/>
      <c r="BJT56" s="29"/>
      <c r="BJU56" s="29"/>
      <c r="BJV56" s="29"/>
      <c r="BJW56" s="29"/>
      <c r="BJX56" s="29"/>
      <c r="BJY56" s="136"/>
      <c r="BJZ56" s="29"/>
      <c r="BKA56" s="29"/>
      <c r="BKB56" s="29"/>
      <c r="BKC56" s="29"/>
      <c r="BKD56" s="29"/>
      <c r="BKE56" s="73"/>
      <c r="BKF56" s="29"/>
      <c r="BKG56" s="29"/>
      <c r="BKH56" s="29"/>
      <c r="BKI56" s="29"/>
      <c r="BKJ56" s="29"/>
      <c r="BKK56" s="136"/>
      <c r="BKL56" s="29"/>
      <c r="BKM56" s="29"/>
      <c r="BKN56" s="29"/>
      <c r="BKO56" s="29"/>
      <c r="BKP56" s="29"/>
      <c r="BKQ56" s="73"/>
      <c r="BKR56" s="67"/>
      <c r="BKS56" s="67"/>
      <c r="BKT56" s="67"/>
      <c r="BKU56" s="67"/>
      <c r="BKV56" s="29"/>
      <c r="BKW56" s="136"/>
      <c r="BKX56" s="29"/>
      <c r="BKY56" s="29"/>
      <c r="BKZ56" s="29"/>
      <c r="BLA56" s="29"/>
      <c r="BLB56" s="29"/>
      <c r="BLC56" s="73"/>
      <c r="BLD56" s="29"/>
      <c r="BLE56" s="29"/>
      <c r="BLF56" s="29"/>
      <c r="BLG56" s="29"/>
      <c r="BLH56" s="29"/>
      <c r="BLI56" s="136"/>
      <c r="BLJ56" s="29"/>
      <c r="BLK56" s="29"/>
      <c r="BLL56" s="29"/>
      <c r="BLM56" s="29"/>
      <c r="BLN56" s="29"/>
      <c r="BLO56" s="73"/>
      <c r="BLP56" s="29"/>
      <c r="BLQ56" s="29"/>
      <c r="BLR56" s="29"/>
      <c r="BLS56" s="29"/>
      <c r="BLT56" s="29"/>
      <c r="BLU56" s="30"/>
      <c r="BLV56" s="90"/>
    </row>
    <row r="57" spans="1:1686" ht="20.100000000000001" customHeight="1" x14ac:dyDescent="0.25">
      <c r="A57" s="100" t="s">
        <v>17</v>
      </c>
      <c r="B57" s="63"/>
      <c r="C57" s="205" t="s">
        <v>149</v>
      </c>
      <c r="D57" s="146" t="str">
        <f t="shared" si="0"/>
        <v>2h25min</v>
      </c>
      <c r="E57" s="31">
        <v>29</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33"/>
      <c r="AFU57" s="33"/>
      <c r="AFV57" s="33"/>
      <c r="AFW57" s="33"/>
      <c r="AFX57" s="33"/>
      <c r="AFY57" s="137"/>
      <c r="AFZ57" s="33"/>
      <c r="AGA57" s="33"/>
      <c r="AGB57" s="33"/>
      <c r="AGC57" s="33"/>
      <c r="AGD57" s="33"/>
      <c r="AGE57" s="74"/>
      <c r="AGF57" s="33"/>
      <c r="AGG57" s="33"/>
      <c r="AGH57" s="33"/>
      <c r="AGI57" s="33"/>
      <c r="AGJ57" s="33"/>
      <c r="AGK57" s="137"/>
      <c r="AGL57" s="33"/>
      <c r="AGM57" s="33"/>
      <c r="AGN57" s="33"/>
      <c r="AGO57" s="33"/>
      <c r="AGP57" s="33"/>
      <c r="AGQ57" s="74"/>
      <c r="AGR57" s="64"/>
      <c r="AGS57" s="64"/>
      <c r="AGT57" s="64"/>
      <c r="AGU57" s="64"/>
      <c r="AGV57" s="33"/>
      <c r="AGW57" s="137"/>
      <c r="AGX57" s="33"/>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33"/>
      <c r="AKI57" s="132"/>
      <c r="AKJ57" s="33"/>
      <c r="AKK57" s="33"/>
      <c r="AKL57" s="33"/>
      <c r="AKM57" s="33"/>
      <c r="AKN57" s="33"/>
      <c r="AKO57" s="137"/>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165"/>
      <c r="AMM57" s="166"/>
      <c r="AMN57" s="166"/>
      <c r="AMO57" s="166"/>
      <c r="AMP57" s="167"/>
      <c r="AMQ57" s="168"/>
      <c r="AMR57" s="167"/>
      <c r="AMS57" s="167"/>
      <c r="AMT57" s="167"/>
      <c r="AMU57" s="167"/>
      <c r="AMV57" s="167"/>
      <c r="AMW57" s="181"/>
      <c r="AMX57" s="167"/>
      <c r="AMY57" s="167"/>
      <c r="AMZ57" s="167"/>
      <c r="ANA57" s="167"/>
      <c r="ANB57" s="167"/>
      <c r="ANC57" s="182"/>
      <c r="AND57" s="167"/>
      <c r="ANE57" s="167"/>
      <c r="ANF57" s="167"/>
      <c r="ANG57" s="167"/>
      <c r="ANH57" s="167"/>
      <c r="ANI57" s="181"/>
      <c r="ANJ57" s="167"/>
      <c r="ANK57" s="167"/>
      <c r="ANL57" s="167"/>
      <c r="ANM57" s="167"/>
      <c r="ANN57" s="167"/>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32"/>
      <c r="BHG57" s="64"/>
      <c r="BHH57" s="64"/>
      <c r="BHI57" s="64"/>
      <c r="BHJ57" s="33"/>
      <c r="BHK57" s="132"/>
      <c r="BHL57" s="33"/>
      <c r="BHM57" s="33"/>
      <c r="BHN57" s="33"/>
      <c r="BHO57" s="33"/>
      <c r="BHP57" s="33"/>
      <c r="BHQ57" s="137"/>
      <c r="BHR57" s="33"/>
      <c r="BHS57" s="33"/>
      <c r="BHT57" s="33"/>
      <c r="BHU57" s="33"/>
      <c r="BHV57" s="33"/>
      <c r="BHW57" s="74"/>
      <c r="BHX57" s="33"/>
      <c r="BHY57" s="33"/>
      <c r="BHZ57" s="33"/>
      <c r="BIA57" s="33"/>
      <c r="BIB57" s="33"/>
      <c r="BIC57" s="137"/>
      <c r="BID57" s="33"/>
      <c r="BIE57" s="33"/>
      <c r="BIF57" s="33"/>
      <c r="BIG57" s="33"/>
      <c r="BIH57" s="33"/>
      <c r="BII57" s="74"/>
      <c r="BIJ57" s="64"/>
      <c r="BIK57" s="64"/>
      <c r="BIL57" s="64"/>
      <c r="BIM57" s="64"/>
      <c r="BIN57" s="33"/>
      <c r="BIO57" s="137"/>
      <c r="BIP57" s="33"/>
      <c r="BIQ57" s="33"/>
      <c r="BIR57" s="33"/>
      <c r="BIS57" s="33"/>
      <c r="BIT57" s="33"/>
      <c r="BIU57" s="74"/>
      <c r="BIV57" s="33"/>
      <c r="BIW57" s="33"/>
      <c r="BIX57" s="33"/>
      <c r="BIY57" s="33"/>
      <c r="BIZ57" s="33"/>
      <c r="BJA57" s="137"/>
      <c r="BJB57" s="33"/>
      <c r="BJC57" s="33"/>
      <c r="BJD57" s="33"/>
      <c r="BJE57" s="33"/>
      <c r="BJF57" s="33"/>
      <c r="BJG57" s="74"/>
      <c r="BJH57" s="33"/>
      <c r="BJI57" s="33"/>
      <c r="BJJ57" s="33"/>
      <c r="BJK57" s="33"/>
      <c r="BJL57" s="33"/>
      <c r="BJM57" s="34"/>
      <c r="BJN57" s="32"/>
      <c r="BJO57" s="64"/>
      <c r="BJP57" s="64"/>
      <c r="BJQ57" s="64"/>
      <c r="BJR57" s="33"/>
      <c r="BJS57" s="132"/>
      <c r="BJT57" s="33"/>
      <c r="BJU57" s="33"/>
      <c r="BJV57" s="33"/>
      <c r="BJW57" s="33"/>
      <c r="BJX57" s="33"/>
      <c r="BJY57" s="137"/>
      <c r="BJZ57" s="33"/>
      <c r="BKA57" s="33"/>
      <c r="BKB57" s="33"/>
      <c r="BKC57" s="33"/>
      <c r="BKD57" s="33"/>
      <c r="BKE57" s="74"/>
      <c r="BKF57" s="33"/>
      <c r="BKG57" s="33"/>
      <c r="BKH57" s="33"/>
      <c r="BKI57" s="33"/>
      <c r="BKJ57" s="33"/>
      <c r="BKK57" s="137"/>
      <c r="BKL57" s="33"/>
      <c r="BKM57" s="33"/>
      <c r="BKN57" s="33"/>
      <c r="BKO57" s="33"/>
      <c r="BKP57" s="33"/>
      <c r="BKQ57" s="74"/>
      <c r="BKR57" s="64"/>
      <c r="BKS57" s="64"/>
      <c r="BKT57" s="64"/>
      <c r="BKU57" s="64"/>
      <c r="BKV57" s="33"/>
      <c r="BKW57" s="137"/>
      <c r="BKX57" s="33"/>
      <c r="BKY57" s="33"/>
      <c r="BKZ57" s="33"/>
      <c r="BLA57" s="33"/>
      <c r="BLB57" s="33"/>
      <c r="BLC57" s="74"/>
      <c r="BLD57" s="33"/>
      <c r="BLE57" s="33"/>
      <c r="BLF57" s="33"/>
      <c r="BLG57" s="33"/>
      <c r="BLH57" s="33"/>
      <c r="BLI57" s="137"/>
      <c r="BLJ57" s="33"/>
      <c r="BLK57" s="33"/>
      <c r="BLL57" s="33"/>
      <c r="BLM57" s="33"/>
      <c r="BLN57" s="33"/>
      <c r="BLO57" s="74"/>
      <c r="BLP57" s="33"/>
      <c r="BLQ57" s="33"/>
      <c r="BLR57" s="33"/>
      <c r="BLS57" s="33"/>
      <c r="BLT57" s="33"/>
      <c r="BLU57" s="34"/>
      <c r="BLV57" s="90"/>
    </row>
    <row r="58" spans="1:1686" ht="20.100000000000001" customHeight="1" x14ac:dyDescent="0.3">
      <c r="A58" s="100" t="s">
        <v>18</v>
      </c>
      <c r="B58" s="63"/>
      <c r="C58" s="206"/>
      <c r="D58" s="148"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37"/>
      <c r="AGD58" s="37"/>
      <c r="AGE58" s="75"/>
      <c r="AGF58" s="37"/>
      <c r="AGG58" s="37"/>
      <c r="AGH58" s="37"/>
      <c r="AGI58" s="37"/>
      <c r="AGJ58" s="37"/>
      <c r="AGK58" s="138"/>
      <c r="AGL58" s="37"/>
      <c r="AGM58" s="37"/>
      <c r="AGN58" s="37"/>
      <c r="AGO58" s="37"/>
      <c r="AGP58" s="37"/>
      <c r="AGQ58" s="75"/>
      <c r="AGR58" s="65"/>
      <c r="AGS58" s="65"/>
      <c r="AGT58" s="65"/>
      <c r="AGU58" s="65"/>
      <c r="AGV58" s="37"/>
      <c r="AGW58" s="138"/>
      <c r="AGX58" s="37"/>
      <c r="AGY58" s="37"/>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37"/>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37"/>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36"/>
      <c r="BHG58" s="65"/>
      <c r="BHH58" s="65"/>
      <c r="BHI58" s="65"/>
      <c r="BHJ58" s="37"/>
      <c r="BHK58" s="133"/>
      <c r="BHL58" s="37"/>
      <c r="BHM58" s="37"/>
      <c r="BHN58" s="37"/>
      <c r="BHO58" s="37"/>
      <c r="BHP58" s="37"/>
      <c r="BHQ58" s="138"/>
      <c r="BHR58" s="37"/>
      <c r="BHS58" s="37"/>
      <c r="BHT58" s="37"/>
      <c r="BHU58" s="37"/>
      <c r="BHV58" s="37"/>
      <c r="BHW58" s="75"/>
      <c r="BHX58" s="37"/>
      <c r="BHY58" s="37"/>
      <c r="BHZ58" s="37"/>
      <c r="BIA58" s="37"/>
      <c r="BIB58" s="37"/>
      <c r="BIC58" s="138"/>
      <c r="BID58" s="37"/>
      <c r="BIE58" s="37"/>
      <c r="BIF58" s="37"/>
      <c r="BIG58" s="37"/>
      <c r="BIH58" s="37"/>
      <c r="BII58" s="75"/>
      <c r="BIJ58" s="65"/>
      <c r="BIK58" s="65"/>
      <c r="BIL58" s="65"/>
      <c r="BIM58" s="65"/>
      <c r="BIN58" s="37"/>
      <c r="BIO58" s="138"/>
      <c r="BIP58" s="37"/>
      <c r="BIQ58" s="37"/>
      <c r="BIR58" s="37"/>
      <c r="BIS58" s="37"/>
      <c r="BIT58" s="37"/>
      <c r="BIU58" s="75"/>
      <c r="BIV58" s="37"/>
      <c r="BIW58" s="37"/>
      <c r="BIX58" s="37"/>
      <c r="BIY58" s="37"/>
      <c r="BIZ58" s="37"/>
      <c r="BJA58" s="138"/>
      <c r="BJB58" s="37"/>
      <c r="BJC58" s="37"/>
      <c r="BJD58" s="37"/>
      <c r="BJE58" s="37"/>
      <c r="BJF58" s="37"/>
      <c r="BJG58" s="75"/>
      <c r="BJH58" s="37"/>
      <c r="BJI58" s="37"/>
      <c r="BJJ58" s="37"/>
      <c r="BJK58" s="37"/>
      <c r="BJL58" s="37"/>
      <c r="BJM58" s="38"/>
      <c r="BJN58" s="36"/>
      <c r="BJO58" s="65"/>
      <c r="BJP58" s="65"/>
      <c r="BJQ58" s="65"/>
      <c r="BJR58" s="37"/>
      <c r="BJS58" s="133"/>
      <c r="BJT58" s="37"/>
      <c r="BJU58" s="37"/>
      <c r="BJV58" s="37"/>
      <c r="BJW58" s="37"/>
      <c r="BJX58" s="37"/>
      <c r="BJY58" s="138"/>
      <c r="BJZ58" s="37"/>
      <c r="BKA58" s="37"/>
      <c r="BKB58" s="37"/>
      <c r="BKC58" s="37"/>
      <c r="BKD58" s="37"/>
      <c r="BKE58" s="75"/>
      <c r="BKF58" s="37"/>
      <c r="BKG58" s="37"/>
      <c r="BKH58" s="37"/>
      <c r="BKI58" s="37"/>
      <c r="BKJ58" s="37"/>
      <c r="BKK58" s="138"/>
      <c r="BKL58" s="37"/>
      <c r="BKM58" s="37"/>
      <c r="BKN58" s="37"/>
      <c r="BKO58" s="37"/>
      <c r="BKP58" s="37"/>
      <c r="BKQ58" s="75"/>
      <c r="BKR58" s="65"/>
      <c r="BKS58" s="65"/>
      <c r="BKT58" s="65"/>
      <c r="BKU58" s="65"/>
      <c r="BKV58" s="37"/>
      <c r="BKW58" s="138"/>
      <c r="BKX58" s="37"/>
      <c r="BKY58" s="37"/>
      <c r="BKZ58" s="37"/>
      <c r="BLA58" s="37"/>
      <c r="BLB58" s="37"/>
      <c r="BLC58" s="75"/>
      <c r="BLD58" s="37"/>
      <c r="BLE58" s="37"/>
      <c r="BLF58" s="37"/>
      <c r="BLG58" s="37"/>
      <c r="BLH58" s="37"/>
      <c r="BLI58" s="138"/>
      <c r="BLJ58" s="37"/>
      <c r="BLK58" s="37"/>
      <c r="BLL58" s="37"/>
      <c r="BLM58" s="37"/>
      <c r="BLN58" s="37"/>
      <c r="BLO58" s="75"/>
      <c r="BLP58" s="37"/>
      <c r="BLQ58" s="37"/>
      <c r="BLR58" s="37"/>
      <c r="BLS58" s="37"/>
      <c r="BLT58" s="37"/>
      <c r="BLU58" s="38"/>
      <c r="BLV58" s="90"/>
    </row>
    <row r="59" spans="1:1686" ht="20.100000000000001" customHeight="1" x14ac:dyDescent="0.25">
      <c r="A59" s="100" t="s">
        <v>17</v>
      </c>
      <c r="B59" s="63"/>
      <c r="C59" s="205" t="s">
        <v>181</v>
      </c>
      <c r="D59" s="146" t="str">
        <f t="shared" si="0"/>
        <v>0h</v>
      </c>
      <c r="E59" s="31">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41"/>
      <c r="AIL59" s="41"/>
      <c r="AIM59" s="76"/>
      <c r="AIN59" s="41"/>
      <c r="AIO59" s="41"/>
      <c r="AIP59" s="41"/>
      <c r="AIQ59" s="41"/>
      <c r="AIR59" s="41"/>
      <c r="AIS59" s="139"/>
      <c r="AIT59" s="41"/>
      <c r="AIU59" s="41"/>
      <c r="AIV59" s="41"/>
      <c r="AIW59" s="41"/>
      <c r="AIX59" s="41"/>
      <c r="AIY59" s="76"/>
      <c r="AIZ59" s="66"/>
      <c r="AJA59" s="66"/>
      <c r="AJB59" s="66"/>
      <c r="AJC59" s="66"/>
      <c r="AJD59" s="41"/>
      <c r="AJE59" s="139"/>
      <c r="AJF59" s="41"/>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41"/>
      <c r="ALA59" s="139"/>
      <c r="ALB59" s="41"/>
      <c r="ALC59" s="41"/>
      <c r="ALD59" s="41"/>
      <c r="ALE59" s="41"/>
      <c r="ALF59" s="41"/>
      <c r="ALG59" s="76"/>
      <c r="ALH59" s="66"/>
      <c r="ALI59" s="66"/>
      <c r="ALJ59" s="66"/>
      <c r="ALK59" s="66"/>
      <c r="ALL59" s="41"/>
      <c r="ALM59" s="139"/>
      <c r="ALN59" s="41"/>
      <c r="ALO59" s="41"/>
      <c r="ALP59" s="41"/>
      <c r="ALQ59" s="41"/>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40"/>
      <c r="BHG59" s="66"/>
      <c r="BHH59" s="66"/>
      <c r="BHI59" s="66"/>
      <c r="BHJ59" s="41"/>
      <c r="BHK59" s="134"/>
      <c r="BHL59" s="41"/>
      <c r="BHM59" s="41"/>
      <c r="BHN59" s="41"/>
      <c r="BHO59" s="41"/>
      <c r="BHP59" s="41"/>
      <c r="BHQ59" s="139"/>
      <c r="BHR59" s="41"/>
      <c r="BHS59" s="41"/>
      <c r="BHT59" s="41"/>
      <c r="BHU59" s="41"/>
      <c r="BHV59" s="41"/>
      <c r="BHW59" s="76"/>
      <c r="BHX59" s="41"/>
      <c r="BHY59" s="41"/>
      <c r="BHZ59" s="41"/>
      <c r="BIA59" s="41"/>
      <c r="BIB59" s="41"/>
      <c r="BIC59" s="139"/>
      <c r="BID59" s="41"/>
      <c r="BIE59" s="41"/>
      <c r="BIF59" s="41"/>
      <c r="BIG59" s="41"/>
      <c r="BIH59" s="41"/>
      <c r="BII59" s="76"/>
      <c r="BIJ59" s="66"/>
      <c r="BIK59" s="66"/>
      <c r="BIL59" s="66"/>
      <c r="BIM59" s="66"/>
      <c r="BIN59" s="41"/>
      <c r="BIO59" s="139"/>
      <c r="BIP59" s="41"/>
      <c r="BIQ59" s="41"/>
      <c r="BIR59" s="41"/>
      <c r="BIS59" s="41"/>
      <c r="BIT59" s="41"/>
      <c r="BIU59" s="76"/>
      <c r="BIV59" s="41"/>
      <c r="BIW59" s="41"/>
      <c r="BIX59" s="41"/>
      <c r="BIY59" s="41"/>
      <c r="BIZ59" s="41"/>
      <c r="BJA59" s="139"/>
      <c r="BJB59" s="41"/>
      <c r="BJC59" s="41"/>
      <c r="BJD59" s="41"/>
      <c r="BJE59" s="41"/>
      <c r="BJF59" s="41"/>
      <c r="BJG59" s="76"/>
      <c r="BJH59" s="41"/>
      <c r="BJI59" s="41"/>
      <c r="BJJ59" s="41"/>
      <c r="BJK59" s="41"/>
      <c r="BJL59" s="41"/>
      <c r="BJM59" s="42"/>
      <c r="BJN59" s="40"/>
      <c r="BJO59" s="66"/>
      <c r="BJP59" s="66"/>
      <c r="BJQ59" s="66"/>
      <c r="BJR59" s="41"/>
      <c r="BJS59" s="134"/>
      <c r="BJT59" s="41"/>
      <c r="BJU59" s="41"/>
      <c r="BJV59" s="41"/>
      <c r="BJW59" s="41"/>
      <c r="BJX59" s="41"/>
      <c r="BJY59" s="139"/>
      <c r="BJZ59" s="41"/>
      <c r="BKA59" s="41"/>
      <c r="BKB59" s="41"/>
      <c r="BKC59" s="41"/>
      <c r="BKD59" s="41"/>
      <c r="BKE59" s="76"/>
      <c r="BKF59" s="41"/>
      <c r="BKG59" s="41"/>
      <c r="BKH59" s="41"/>
      <c r="BKI59" s="41"/>
      <c r="BKJ59" s="41"/>
      <c r="BKK59" s="139"/>
      <c r="BKL59" s="41"/>
      <c r="BKM59" s="41"/>
      <c r="BKN59" s="41"/>
      <c r="BKO59" s="41"/>
      <c r="BKP59" s="41"/>
      <c r="BKQ59" s="76"/>
      <c r="BKR59" s="66"/>
      <c r="BKS59" s="66"/>
      <c r="BKT59" s="66"/>
      <c r="BKU59" s="66"/>
      <c r="BKV59" s="41"/>
      <c r="BKW59" s="139"/>
      <c r="BKX59" s="41"/>
      <c r="BKY59" s="41"/>
      <c r="BKZ59" s="41"/>
      <c r="BLA59" s="41"/>
      <c r="BLB59" s="41"/>
      <c r="BLC59" s="76"/>
      <c r="BLD59" s="41"/>
      <c r="BLE59" s="41"/>
      <c r="BLF59" s="41"/>
      <c r="BLG59" s="41"/>
      <c r="BLH59" s="41"/>
      <c r="BLI59" s="139"/>
      <c r="BLJ59" s="41"/>
      <c r="BLK59" s="41"/>
      <c r="BLL59" s="41"/>
      <c r="BLM59" s="41"/>
      <c r="BLN59" s="41"/>
      <c r="BLO59" s="76"/>
      <c r="BLP59" s="41"/>
      <c r="BLQ59" s="41"/>
      <c r="BLR59" s="41"/>
      <c r="BLS59" s="41"/>
      <c r="BLT59" s="41"/>
      <c r="BLU59" s="42"/>
      <c r="BLV59" s="90"/>
    </row>
    <row r="60" spans="1:1686" ht="20.100000000000001" customHeight="1" x14ac:dyDescent="0.3">
      <c r="A60" s="100" t="s">
        <v>18</v>
      </c>
      <c r="B60" s="63"/>
      <c r="C60" s="206"/>
      <c r="D60" s="148"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9"/>
      <c r="AFU60" s="29"/>
      <c r="AFV60" s="29"/>
      <c r="AFW60" s="29"/>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73"/>
      <c r="AIN60" s="2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8"/>
      <c r="AKE60" s="67"/>
      <c r="AKF60" s="67"/>
      <c r="AKG60" s="67"/>
      <c r="AKH60" s="29"/>
      <c r="AKI60" s="131"/>
      <c r="AKJ60" s="29"/>
      <c r="AKK60" s="29"/>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28"/>
      <c r="BHG60" s="67"/>
      <c r="BHH60" s="67"/>
      <c r="BHI60" s="67"/>
      <c r="BHJ60" s="29"/>
      <c r="BHK60" s="131"/>
      <c r="BHL60" s="29"/>
      <c r="BHM60" s="29"/>
      <c r="BHN60" s="29"/>
      <c r="BHO60" s="29"/>
      <c r="BHP60" s="29"/>
      <c r="BHQ60" s="136"/>
      <c r="BHR60" s="29"/>
      <c r="BHS60" s="29"/>
      <c r="BHT60" s="29"/>
      <c r="BHU60" s="29"/>
      <c r="BHV60" s="29"/>
      <c r="BHW60" s="73"/>
      <c r="BHX60" s="29"/>
      <c r="BHY60" s="29"/>
      <c r="BHZ60" s="29"/>
      <c r="BIA60" s="29"/>
      <c r="BIB60" s="29"/>
      <c r="BIC60" s="136"/>
      <c r="BID60" s="29"/>
      <c r="BIE60" s="29"/>
      <c r="BIF60" s="29"/>
      <c r="BIG60" s="29"/>
      <c r="BIH60" s="29"/>
      <c r="BII60" s="73"/>
      <c r="BIJ60" s="67"/>
      <c r="BIK60" s="67"/>
      <c r="BIL60" s="67"/>
      <c r="BIM60" s="67"/>
      <c r="BIN60" s="29"/>
      <c r="BIO60" s="136"/>
      <c r="BIP60" s="29"/>
      <c r="BIQ60" s="29"/>
      <c r="BIR60" s="29"/>
      <c r="BIS60" s="29"/>
      <c r="BIT60" s="29"/>
      <c r="BIU60" s="73"/>
      <c r="BIV60" s="29"/>
      <c r="BIW60" s="29"/>
      <c r="BIX60" s="29"/>
      <c r="BIY60" s="29"/>
      <c r="BIZ60" s="29"/>
      <c r="BJA60" s="136"/>
      <c r="BJB60" s="29"/>
      <c r="BJC60" s="29"/>
      <c r="BJD60" s="29"/>
      <c r="BJE60" s="29"/>
      <c r="BJF60" s="29"/>
      <c r="BJG60" s="73"/>
      <c r="BJH60" s="29"/>
      <c r="BJI60" s="29"/>
      <c r="BJJ60" s="29"/>
      <c r="BJK60" s="29"/>
      <c r="BJL60" s="29"/>
      <c r="BJM60" s="30"/>
      <c r="BJN60" s="28"/>
      <c r="BJO60" s="67"/>
      <c r="BJP60" s="67"/>
      <c r="BJQ60" s="67"/>
      <c r="BJR60" s="29"/>
      <c r="BJS60" s="131"/>
      <c r="BJT60" s="29"/>
      <c r="BJU60" s="29"/>
      <c r="BJV60" s="29"/>
      <c r="BJW60" s="29"/>
      <c r="BJX60" s="29"/>
      <c r="BJY60" s="136"/>
      <c r="BJZ60" s="29"/>
      <c r="BKA60" s="29"/>
      <c r="BKB60" s="29"/>
      <c r="BKC60" s="29"/>
      <c r="BKD60" s="29"/>
      <c r="BKE60" s="73"/>
      <c r="BKF60" s="29"/>
      <c r="BKG60" s="29"/>
      <c r="BKH60" s="29"/>
      <c r="BKI60" s="29"/>
      <c r="BKJ60" s="29"/>
      <c r="BKK60" s="136"/>
      <c r="BKL60" s="29"/>
      <c r="BKM60" s="29"/>
      <c r="BKN60" s="29"/>
      <c r="BKO60" s="29"/>
      <c r="BKP60" s="29"/>
      <c r="BKQ60" s="73"/>
      <c r="BKR60" s="67"/>
      <c r="BKS60" s="67"/>
      <c r="BKT60" s="67"/>
      <c r="BKU60" s="67"/>
      <c r="BKV60" s="29"/>
      <c r="BKW60" s="136"/>
      <c r="BKX60" s="29"/>
      <c r="BKY60" s="29"/>
      <c r="BKZ60" s="29"/>
      <c r="BLA60" s="29"/>
      <c r="BLB60" s="29"/>
      <c r="BLC60" s="73"/>
      <c r="BLD60" s="29"/>
      <c r="BLE60" s="29"/>
      <c r="BLF60" s="29"/>
      <c r="BLG60" s="29"/>
      <c r="BLH60" s="29"/>
      <c r="BLI60" s="136"/>
      <c r="BLJ60" s="29"/>
      <c r="BLK60" s="29"/>
      <c r="BLL60" s="29"/>
      <c r="BLM60" s="29"/>
      <c r="BLN60" s="29"/>
      <c r="BLO60" s="73"/>
      <c r="BLP60" s="29"/>
      <c r="BLQ60" s="29"/>
      <c r="BLR60" s="29"/>
      <c r="BLS60" s="29"/>
      <c r="BLT60" s="29"/>
      <c r="BLU60" s="30"/>
      <c r="BLV60" s="90"/>
    </row>
    <row r="61" spans="1:1686" ht="20.100000000000001" customHeight="1" x14ac:dyDescent="0.25">
      <c r="A61" s="100" t="s">
        <v>17</v>
      </c>
      <c r="B61" s="63"/>
      <c r="C61" s="205"/>
      <c r="D61" s="146"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74"/>
      <c r="AKV61" s="33"/>
      <c r="AKW61" s="33"/>
      <c r="AKX61" s="33"/>
      <c r="AKY61" s="33"/>
      <c r="AKZ61" s="33"/>
      <c r="ALA61" s="137"/>
      <c r="ALB61" s="33"/>
      <c r="ALC61" s="33"/>
      <c r="ALD61" s="33"/>
      <c r="ALE61" s="33"/>
      <c r="ALF61" s="33"/>
      <c r="ALG61" s="74"/>
      <c r="ALH61" s="64"/>
      <c r="ALI61" s="64"/>
      <c r="ALJ61" s="64"/>
      <c r="ALK61" s="64"/>
      <c r="ALL61" s="33"/>
      <c r="ALM61" s="137"/>
      <c r="ALN61" s="33"/>
      <c r="ALO61" s="33"/>
      <c r="ALP61" s="33"/>
      <c r="ALQ61" s="33"/>
      <c r="ALR61" s="33"/>
      <c r="ALS61" s="74"/>
      <c r="ALT61" s="33"/>
      <c r="ALU61" s="33"/>
      <c r="ALV61" s="33"/>
      <c r="ALW61" s="33"/>
      <c r="ALX61" s="33"/>
      <c r="ALY61" s="137"/>
      <c r="ALZ61" s="33"/>
      <c r="AMA61" s="33"/>
      <c r="AMB61" s="33"/>
      <c r="AMC61" s="33"/>
      <c r="AMD61" s="33"/>
      <c r="AME61" s="74"/>
      <c r="AMF61" s="33"/>
      <c r="AMG61" s="33"/>
      <c r="AMH61" s="33"/>
      <c r="AMI61" s="33"/>
      <c r="AMJ61" s="33"/>
      <c r="AMK61" s="34"/>
      <c r="AML61" s="32"/>
      <c r="AMM61" s="64"/>
      <c r="AMN61" s="64"/>
      <c r="AMO61" s="64"/>
      <c r="AMP61" s="33"/>
      <c r="AMQ61" s="132"/>
      <c r="AMR61" s="33"/>
      <c r="AMS61" s="33"/>
      <c r="AMT61" s="33"/>
      <c r="AMU61" s="33"/>
      <c r="AMV61" s="33"/>
      <c r="AMW61" s="137"/>
      <c r="AMX61" s="33"/>
      <c r="AMY61" s="33"/>
      <c r="AMZ61" s="33"/>
      <c r="ANA61" s="33"/>
      <c r="ANB61" s="33"/>
      <c r="ANC61" s="74"/>
      <c r="AND61" s="33"/>
      <c r="ANE61" s="33"/>
      <c r="ANF61" s="33"/>
      <c r="ANG61" s="33"/>
      <c r="ANH61" s="33"/>
      <c r="ANI61" s="137"/>
      <c r="ANJ61" s="33"/>
      <c r="ANK61" s="33"/>
      <c r="ANL61" s="33"/>
      <c r="ANM61" s="33"/>
      <c r="ANN61" s="33"/>
      <c r="ANO61" s="74"/>
      <c r="ANP61" s="64"/>
      <c r="ANQ61" s="64"/>
      <c r="ANR61" s="64"/>
      <c r="ANS61" s="64"/>
      <c r="ANT61" s="33"/>
      <c r="ANU61" s="137"/>
      <c r="ANV61" s="33"/>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32"/>
      <c r="BHG61" s="64"/>
      <c r="BHH61" s="64"/>
      <c r="BHI61" s="64"/>
      <c r="BHJ61" s="33"/>
      <c r="BHK61" s="132"/>
      <c r="BHL61" s="33"/>
      <c r="BHM61" s="33"/>
      <c r="BHN61" s="33"/>
      <c r="BHO61" s="33"/>
      <c r="BHP61" s="33"/>
      <c r="BHQ61" s="137"/>
      <c r="BHR61" s="33"/>
      <c r="BHS61" s="33"/>
      <c r="BHT61" s="33"/>
      <c r="BHU61" s="33"/>
      <c r="BHV61" s="33"/>
      <c r="BHW61" s="74"/>
      <c r="BHX61" s="33"/>
      <c r="BHY61" s="33"/>
      <c r="BHZ61" s="33"/>
      <c r="BIA61" s="33"/>
      <c r="BIB61" s="33"/>
      <c r="BIC61" s="137"/>
      <c r="BID61" s="33"/>
      <c r="BIE61" s="33"/>
      <c r="BIF61" s="33"/>
      <c r="BIG61" s="33"/>
      <c r="BIH61" s="33"/>
      <c r="BII61" s="74"/>
      <c r="BIJ61" s="64"/>
      <c r="BIK61" s="64"/>
      <c r="BIL61" s="64"/>
      <c r="BIM61" s="64"/>
      <c r="BIN61" s="33"/>
      <c r="BIO61" s="137"/>
      <c r="BIP61" s="33"/>
      <c r="BIQ61" s="33"/>
      <c r="BIR61" s="33"/>
      <c r="BIS61" s="33"/>
      <c r="BIT61" s="33"/>
      <c r="BIU61" s="74"/>
      <c r="BIV61" s="33"/>
      <c r="BIW61" s="33"/>
      <c r="BIX61" s="33"/>
      <c r="BIY61" s="33"/>
      <c r="BIZ61" s="33"/>
      <c r="BJA61" s="137"/>
      <c r="BJB61" s="33"/>
      <c r="BJC61" s="33"/>
      <c r="BJD61" s="33"/>
      <c r="BJE61" s="33"/>
      <c r="BJF61" s="33"/>
      <c r="BJG61" s="74"/>
      <c r="BJH61" s="33"/>
      <c r="BJI61" s="33"/>
      <c r="BJJ61" s="33"/>
      <c r="BJK61" s="33"/>
      <c r="BJL61" s="33"/>
      <c r="BJM61" s="34"/>
      <c r="BJN61" s="32"/>
      <c r="BJO61" s="64"/>
      <c r="BJP61" s="64"/>
      <c r="BJQ61" s="64"/>
      <c r="BJR61" s="33"/>
      <c r="BJS61" s="132"/>
      <c r="BJT61" s="33"/>
      <c r="BJU61" s="33"/>
      <c r="BJV61" s="33"/>
      <c r="BJW61" s="33"/>
      <c r="BJX61" s="33"/>
      <c r="BJY61" s="137"/>
      <c r="BJZ61" s="33"/>
      <c r="BKA61" s="33"/>
      <c r="BKB61" s="33"/>
      <c r="BKC61" s="33"/>
      <c r="BKD61" s="33"/>
      <c r="BKE61" s="74"/>
      <c r="BKF61" s="33"/>
      <c r="BKG61" s="33"/>
      <c r="BKH61" s="33"/>
      <c r="BKI61" s="33"/>
      <c r="BKJ61" s="33"/>
      <c r="BKK61" s="137"/>
      <c r="BKL61" s="33"/>
      <c r="BKM61" s="33"/>
      <c r="BKN61" s="33"/>
      <c r="BKO61" s="33"/>
      <c r="BKP61" s="33"/>
      <c r="BKQ61" s="74"/>
      <c r="BKR61" s="64"/>
      <c r="BKS61" s="64"/>
      <c r="BKT61" s="64"/>
      <c r="BKU61" s="64"/>
      <c r="BKV61" s="33"/>
      <c r="BKW61" s="137"/>
      <c r="BKX61" s="33"/>
      <c r="BKY61" s="33"/>
      <c r="BKZ61" s="33"/>
      <c r="BLA61" s="33"/>
      <c r="BLB61" s="33"/>
      <c r="BLC61" s="74"/>
      <c r="BLD61" s="33"/>
      <c r="BLE61" s="33"/>
      <c r="BLF61" s="33"/>
      <c r="BLG61" s="33"/>
      <c r="BLH61" s="33"/>
      <c r="BLI61" s="137"/>
      <c r="BLJ61" s="33"/>
      <c r="BLK61" s="33"/>
      <c r="BLL61" s="33"/>
      <c r="BLM61" s="33"/>
      <c r="BLN61" s="33"/>
      <c r="BLO61" s="74"/>
      <c r="BLP61" s="33"/>
      <c r="BLQ61" s="33"/>
      <c r="BLR61" s="33"/>
      <c r="BLS61" s="33"/>
      <c r="BLT61" s="33"/>
      <c r="BLU61" s="34"/>
      <c r="BLV61" s="90"/>
    </row>
    <row r="62" spans="1:1686" ht="20.100000000000001" customHeight="1" x14ac:dyDescent="0.25">
      <c r="A62" s="100" t="s">
        <v>18</v>
      </c>
      <c r="B62" s="63"/>
      <c r="C62" s="207"/>
      <c r="D62" s="147"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37"/>
      <c r="AIS62" s="138"/>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36"/>
      <c r="BHG62" s="65"/>
      <c r="BHH62" s="65"/>
      <c r="BHI62" s="65"/>
      <c r="BHJ62" s="37"/>
      <c r="BHK62" s="133"/>
      <c r="BHL62" s="37"/>
      <c r="BHM62" s="37"/>
      <c r="BHN62" s="37"/>
      <c r="BHO62" s="37"/>
      <c r="BHP62" s="37"/>
      <c r="BHQ62" s="138"/>
      <c r="BHR62" s="37"/>
      <c r="BHS62" s="37"/>
      <c r="BHT62" s="37"/>
      <c r="BHU62" s="37"/>
      <c r="BHV62" s="37"/>
      <c r="BHW62" s="75"/>
      <c r="BHX62" s="37"/>
      <c r="BHY62" s="37"/>
      <c r="BHZ62" s="37"/>
      <c r="BIA62" s="37"/>
      <c r="BIB62" s="37"/>
      <c r="BIC62" s="138"/>
      <c r="BID62" s="37"/>
      <c r="BIE62" s="37"/>
      <c r="BIF62" s="37"/>
      <c r="BIG62" s="37"/>
      <c r="BIH62" s="37"/>
      <c r="BII62" s="75"/>
      <c r="BIJ62" s="65"/>
      <c r="BIK62" s="65"/>
      <c r="BIL62" s="65"/>
      <c r="BIM62" s="65"/>
      <c r="BIN62" s="37"/>
      <c r="BIO62" s="138"/>
      <c r="BIP62" s="37"/>
      <c r="BIQ62" s="37"/>
      <c r="BIR62" s="37"/>
      <c r="BIS62" s="37"/>
      <c r="BIT62" s="37"/>
      <c r="BIU62" s="75"/>
      <c r="BIV62" s="37"/>
      <c r="BIW62" s="37"/>
      <c r="BIX62" s="37"/>
      <c r="BIY62" s="37"/>
      <c r="BIZ62" s="37"/>
      <c r="BJA62" s="138"/>
      <c r="BJB62" s="37"/>
      <c r="BJC62" s="37"/>
      <c r="BJD62" s="37"/>
      <c r="BJE62" s="37"/>
      <c r="BJF62" s="37"/>
      <c r="BJG62" s="75"/>
      <c r="BJH62" s="37"/>
      <c r="BJI62" s="37"/>
      <c r="BJJ62" s="37"/>
      <c r="BJK62" s="37"/>
      <c r="BJL62" s="37"/>
      <c r="BJM62" s="38"/>
      <c r="BJN62" s="36"/>
      <c r="BJO62" s="65"/>
      <c r="BJP62" s="65"/>
      <c r="BJQ62" s="65"/>
      <c r="BJR62" s="37"/>
      <c r="BJS62" s="133"/>
      <c r="BJT62" s="37"/>
      <c r="BJU62" s="37"/>
      <c r="BJV62" s="37"/>
      <c r="BJW62" s="37"/>
      <c r="BJX62" s="37"/>
      <c r="BJY62" s="138"/>
      <c r="BJZ62" s="37"/>
      <c r="BKA62" s="37"/>
      <c r="BKB62" s="37"/>
      <c r="BKC62" s="37"/>
      <c r="BKD62" s="37"/>
      <c r="BKE62" s="75"/>
      <c r="BKF62" s="37"/>
      <c r="BKG62" s="37"/>
      <c r="BKH62" s="37"/>
      <c r="BKI62" s="37"/>
      <c r="BKJ62" s="37"/>
      <c r="BKK62" s="138"/>
      <c r="BKL62" s="37"/>
      <c r="BKM62" s="37"/>
      <c r="BKN62" s="37"/>
      <c r="BKO62" s="37"/>
      <c r="BKP62" s="37"/>
      <c r="BKQ62" s="75"/>
      <c r="BKR62" s="65"/>
      <c r="BKS62" s="65"/>
      <c r="BKT62" s="65"/>
      <c r="BKU62" s="65"/>
      <c r="BKV62" s="37"/>
      <c r="BKW62" s="138"/>
      <c r="BKX62" s="37"/>
      <c r="BKY62" s="37"/>
      <c r="BKZ62" s="37"/>
      <c r="BLA62" s="37"/>
      <c r="BLB62" s="37"/>
      <c r="BLC62" s="75"/>
      <c r="BLD62" s="37"/>
      <c r="BLE62" s="37"/>
      <c r="BLF62" s="37"/>
      <c r="BLG62" s="37"/>
      <c r="BLH62" s="37"/>
      <c r="BLI62" s="138"/>
      <c r="BLJ62" s="37"/>
      <c r="BLK62" s="37"/>
      <c r="BLL62" s="37"/>
      <c r="BLM62" s="37"/>
      <c r="BLN62" s="37"/>
      <c r="BLO62" s="75"/>
      <c r="BLP62" s="37"/>
      <c r="BLQ62" s="37"/>
      <c r="BLR62" s="37"/>
      <c r="BLS62" s="37"/>
      <c r="BLT62" s="37"/>
      <c r="BLU62" s="38"/>
      <c r="BLV62" s="90"/>
    </row>
    <row r="63" spans="1:1686" ht="20.100000000000001" customHeight="1" x14ac:dyDescent="0.25">
      <c r="A63" s="100" t="s">
        <v>17</v>
      </c>
      <c r="B63" s="63"/>
      <c r="C63" s="205"/>
      <c r="D63" s="146"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40"/>
      <c r="AHW63" s="66"/>
      <c r="AHX63" s="66"/>
      <c r="AHY63" s="66"/>
      <c r="AHZ63" s="41"/>
      <c r="AIA63" s="134"/>
      <c r="AIB63" s="41"/>
      <c r="AIC63" s="41"/>
      <c r="AID63" s="41"/>
      <c r="AIE63" s="41"/>
      <c r="AIF63" s="41"/>
      <c r="AIG63" s="139"/>
      <c r="AIH63" s="41"/>
      <c r="AII63" s="41"/>
      <c r="AIJ63" s="41"/>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41"/>
      <c r="APS63" s="41"/>
      <c r="APT63" s="41"/>
      <c r="APU63" s="41"/>
      <c r="APV63" s="41"/>
      <c r="APW63" s="76"/>
      <c r="APX63" s="66"/>
      <c r="APY63" s="66"/>
      <c r="APZ63" s="66"/>
      <c r="AQA63" s="66"/>
      <c r="AQB63" s="41"/>
      <c r="AQC63" s="139"/>
      <c r="AQD63" s="41"/>
      <c r="AQE63" s="41"/>
      <c r="AQF63" s="41"/>
      <c r="AQG63" s="41"/>
      <c r="AQH63" s="41"/>
      <c r="AQI63" s="76"/>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40"/>
      <c r="BHG63" s="66"/>
      <c r="BHH63" s="66"/>
      <c r="BHI63" s="66"/>
      <c r="BHJ63" s="41"/>
      <c r="BHK63" s="134"/>
      <c r="BHL63" s="41"/>
      <c r="BHM63" s="41"/>
      <c r="BHN63" s="41"/>
      <c r="BHO63" s="41"/>
      <c r="BHP63" s="41"/>
      <c r="BHQ63" s="139"/>
      <c r="BHR63" s="41"/>
      <c r="BHS63" s="41"/>
      <c r="BHT63" s="41"/>
      <c r="BHU63" s="41"/>
      <c r="BHV63" s="41"/>
      <c r="BHW63" s="76"/>
      <c r="BHX63" s="41"/>
      <c r="BHY63" s="41"/>
      <c r="BHZ63" s="41"/>
      <c r="BIA63" s="41"/>
      <c r="BIB63" s="41"/>
      <c r="BIC63" s="139"/>
      <c r="BID63" s="41"/>
      <c r="BIE63" s="41"/>
      <c r="BIF63" s="41"/>
      <c r="BIG63" s="41"/>
      <c r="BIH63" s="41"/>
      <c r="BII63" s="76"/>
      <c r="BIJ63" s="66"/>
      <c r="BIK63" s="66"/>
      <c r="BIL63" s="66"/>
      <c r="BIM63" s="66"/>
      <c r="BIN63" s="41"/>
      <c r="BIO63" s="139"/>
      <c r="BIP63" s="41"/>
      <c r="BIQ63" s="41"/>
      <c r="BIR63" s="41"/>
      <c r="BIS63" s="41"/>
      <c r="BIT63" s="41"/>
      <c r="BIU63" s="76"/>
      <c r="BIV63" s="41"/>
      <c r="BIW63" s="41"/>
      <c r="BIX63" s="41"/>
      <c r="BIY63" s="41"/>
      <c r="BIZ63" s="41"/>
      <c r="BJA63" s="139"/>
      <c r="BJB63" s="41"/>
      <c r="BJC63" s="41"/>
      <c r="BJD63" s="41"/>
      <c r="BJE63" s="41"/>
      <c r="BJF63" s="41"/>
      <c r="BJG63" s="76"/>
      <c r="BJH63" s="41"/>
      <c r="BJI63" s="41"/>
      <c r="BJJ63" s="41"/>
      <c r="BJK63" s="41"/>
      <c r="BJL63" s="41"/>
      <c r="BJM63" s="42"/>
      <c r="BJN63" s="40"/>
      <c r="BJO63" s="66"/>
      <c r="BJP63" s="66"/>
      <c r="BJQ63" s="66"/>
      <c r="BJR63" s="41"/>
      <c r="BJS63" s="134"/>
      <c r="BJT63" s="41"/>
      <c r="BJU63" s="41"/>
      <c r="BJV63" s="41"/>
      <c r="BJW63" s="41"/>
      <c r="BJX63" s="41"/>
      <c r="BJY63" s="139"/>
      <c r="BJZ63" s="41"/>
      <c r="BKA63" s="41"/>
      <c r="BKB63" s="41"/>
      <c r="BKC63" s="41"/>
      <c r="BKD63" s="41"/>
      <c r="BKE63" s="76"/>
      <c r="BKF63" s="41"/>
      <c r="BKG63" s="41"/>
      <c r="BKH63" s="41"/>
      <c r="BKI63" s="41"/>
      <c r="BKJ63" s="41"/>
      <c r="BKK63" s="139"/>
      <c r="BKL63" s="41"/>
      <c r="BKM63" s="41"/>
      <c r="BKN63" s="41"/>
      <c r="BKO63" s="41"/>
      <c r="BKP63" s="41"/>
      <c r="BKQ63" s="76"/>
      <c r="BKR63" s="66"/>
      <c r="BKS63" s="66"/>
      <c r="BKT63" s="66"/>
      <c r="BKU63" s="66"/>
      <c r="BKV63" s="41"/>
      <c r="BKW63" s="139"/>
      <c r="BKX63" s="41"/>
      <c r="BKY63" s="41"/>
      <c r="BKZ63" s="41"/>
      <c r="BLA63" s="41"/>
      <c r="BLB63" s="41"/>
      <c r="BLC63" s="76"/>
      <c r="BLD63" s="41"/>
      <c r="BLE63" s="41"/>
      <c r="BLF63" s="41"/>
      <c r="BLG63" s="41"/>
      <c r="BLH63" s="41"/>
      <c r="BLI63" s="139"/>
      <c r="BLJ63" s="41"/>
      <c r="BLK63" s="41"/>
      <c r="BLL63" s="41"/>
      <c r="BLM63" s="41"/>
      <c r="BLN63" s="41"/>
      <c r="BLO63" s="76"/>
      <c r="BLP63" s="41"/>
      <c r="BLQ63" s="41"/>
      <c r="BLR63" s="41"/>
      <c r="BLS63" s="41"/>
      <c r="BLT63" s="41"/>
      <c r="BLU63" s="42"/>
      <c r="BLV63" s="90"/>
    </row>
    <row r="64" spans="1:1686" ht="20.100000000000001" customHeight="1" x14ac:dyDescent="0.3">
      <c r="A64" s="100" t="s">
        <v>18</v>
      </c>
      <c r="B64" s="63"/>
      <c r="C64" s="206"/>
      <c r="D64" s="148"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29"/>
      <c r="AIY64" s="73"/>
      <c r="AIZ64" s="67"/>
      <c r="AJA64" s="67"/>
      <c r="AJB64" s="67"/>
      <c r="AJC64" s="67"/>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28"/>
      <c r="BHG64" s="67"/>
      <c r="BHH64" s="67"/>
      <c r="BHI64" s="67"/>
      <c r="BHJ64" s="29"/>
      <c r="BHK64" s="131"/>
      <c r="BHL64" s="29"/>
      <c r="BHM64" s="29"/>
      <c r="BHN64" s="29"/>
      <c r="BHO64" s="29"/>
      <c r="BHP64" s="29"/>
      <c r="BHQ64" s="136"/>
      <c r="BHR64" s="29"/>
      <c r="BHS64" s="29"/>
      <c r="BHT64" s="29"/>
      <c r="BHU64" s="29"/>
      <c r="BHV64" s="29"/>
      <c r="BHW64" s="73"/>
      <c r="BHX64" s="29"/>
      <c r="BHY64" s="29"/>
      <c r="BHZ64" s="29"/>
      <c r="BIA64" s="29"/>
      <c r="BIB64" s="29"/>
      <c r="BIC64" s="136"/>
      <c r="BID64" s="29"/>
      <c r="BIE64" s="29"/>
      <c r="BIF64" s="29"/>
      <c r="BIG64" s="29"/>
      <c r="BIH64" s="29"/>
      <c r="BII64" s="73"/>
      <c r="BIJ64" s="67"/>
      <c r="BIK64" s="67"/>
      <c r="BIL64" s="67"/>
      <c r="BIM64" s="67"/>
      <c r="BIN64" s="29"/>
      <c r="BIO64" s="136"/>
      <c r="BIP64" s="29"/>
      <c r="BIQ64" s="29"/>
      <c r="BIR64" s="29"/>
      <c r="BIS64" s="29"/>
      <c r="BIT64" s="29"/>
      <c r="BIU64" s="73"/>
      <c r="BIV64" s="29"/>
      <c r="BIW64" s="29"/>
      <c r="BIX64" s="29"/>
      <c r="BIY64" s="29"/>
      <c r="BIZ64" s="29"/>
      <c r="BJA64" s="136"/>
      <c r="BJB64" s="29"/>
      <c r="BJC64" s="29"/>
      <c r="BJD64" s="29"/>
      <c r="BJE64" s="29"/>
      <c r="BJF64" s="29"/>
      <c r="BJG64" s="73"/>
      <c r="BJH64" s="29"/>
      <c r="BJI64" s="29"/>
      <c r="BJJ64" s="29"/>
      <c r="BJK64" s="29"/>
      <c r="BJL64" s="29"/>
      <c r="BJM64" s="30"/>
      <c r="BJN64" s="28"/>
      <c r="BJO64" s="67"/>
      <c r="BJP64" s="67"/>
      <c r="BJQ64" s="67"/>
      <c r="BJR64" s="29"/>
      <c r="BJS64" s="131"/>
      <c r="BJT64" s="29"/>
      <c r="BJU64" s="29"/>
      <c r="BJV64" s="29"/>
      <c r="BJW64" s="29"/>
      <c r="BJX64" s="29"/>
      <c r="BJY64" s="136"/>
      <c r="BJZ64" s="29"/>
      <c r="BKA64" s="29"/>
      <c r="BKB64" s="29"/>
      <c r="BKC64" s="29"/>
      <c r="BKD64" s="29"/>
      <c r="BKE64" s="73"/>
      <c r="BKF64" s="29"/>
      <c r="BKG64" s="29"/>
      <c r="BKH64" s="29"/>
      <c r="BKI64" s="29"/>
      <c r="BKJ64" s="29"/>
      <c r="BKK64" s="136"/>
      <c r="BKL64" s="29"/>
      <c r="BKM64" s="29"/>
      <c r="BKN64" s="29"/>
      <c r="BKO64" s="29"/>
      <c r="BKP64" s="29"/>
      <c r="BKQ64" s="73"/>
      <c r="BKR64" s="67"/>
      <c r="BKS64" s="67"/>
      <c r="BKT64" s="67"/>
      <c r="BKU64" s="67"/>
      <c r="BKV64" s="29"/>
      <c r="BKW64" s="136"/>
      <c r="BKX64" s="29"/>
      <c r="BKY64" s="29"/>
      <c r="BKZ64" s="29"/>
      <c r="BLA64" s="29"/>
      <c r="BLB64" s="29"/>
      <c r="BLC64" s="73"/>
      <c r="BLD64" s="29"/>
      <c r="BLE64" s="29"/>
      <c r="BLF64" s="29"/>
      <c r="BLG64" s="29"/>
      <c r="BLH64" s="29"/>
      <c r="BLI64" s="136"/>
      <c r="BLJ64" s="29"/>
      <c r="BLK64" s="29"/>
      <c r="BLL64" s="29"/>
      <c r="BLM64" s="29"/>
      <c r="BLN64" s="29"/>
      <c r="BLO64" s="73"/>
      <c r="BLP64" s="29"/>
      <c r="BLQ64" s="29"/>
      <c r="BLR64" s="29"/>
      <c r="BLS64" s="29"/>
      <c r="BLT64" s="29"/>
      <c r="BLU64" s="30"/>
      <c r="BLV64" s="90"/>
    </row>
    <row r="65" spans="1:1686" ht="20.100000000000001" customHeight="1" x14ac:dyDescent="0.25">
      <c r="A65" s="100" t="s">
        <v>17</v>
      </c>
      <c r="B65" s="63"/>
      <c r="C65" s="205"/>
      <c r="D65" s="146"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32"/>
      <c r="ARC65" s="64"/>
      <c r="ARD65" s="64"/>
      <c r="ARE65" s="64"/>
      <c r="ARF65" s="33"/>
      <c r="ARG65" s="132"/>
      <c r="ARH65" s="33"/>
      <c r="ARI65" s="33"/>
      <c r="ARJ65" s="33"/>
      <c r="ARK65" s="33"/>
      <c r="ARL65" s="33"/>
      <c r="ARM65" s="137"/>
      <c r="ARN65" s="33"/>
      <c r="ARO65" s="33"/>
      <c r="ARP65" s="33"/>
      <c r="ARQ65" s="33"/>
      <c r="ARR65" s="33"/>
      <c r="ARS65" s="74"/>
      <c r="ART65" s="33"/>
      <c r="ARU65" s="33"/>
      <c r="ARV65" s="33"/>
      <c r="ARW65" s="33"/>
      <c r="ARX65" s="33"/>
      <c r="ARY65" s="137"/>
      <c r="ARZ65" s="33"/>
      <c r="ASA65" s="33"/>
      <c r="ASB65" s="33"/>
      <c r="ASC65" s="33"/>
      <c r="ASD65" s="33"/>
      <c r="ASE65" s="74"/>
      <c r="ASF65" s="64"/>
      <c r="ASG65" s="64"/>
      <c r="ASH65" s="64"/>
      <c r="ASI65" s="64"/>
      <c r="ASJ65" s="33"/>
      <c r="ASK65" s="137"/>
      <c r="ASL65" s="33"/>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33"/>
      <c r="AUE65" s="33"/>
      <c r="AUF65" s="33"/>
      <c r="AUG65" s="137"/>
      <c r="AUH65" s="33"/>
      <c r="AUI65" s="33"/>
      <c r="AUJ65" s="33"/>
      <c r="AUK65" s="33"/>
      <c r="AUL65" s="33"/>
      <c r="AUM65" s="74"/>
      <c r="AUN65" s="64"/>
      <c r="AUO65" s="64"/>
      <c r="AUP65" s="64"/>
      <c r="AUQ65" s="64"/>
      <c r="AUR65" s="33"/>
      <c r="AUS65" s="137"/>
      <c r="AUT65" s="33"/>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32"/>
      <c r="BHG65" s="64"/>
      <c r="BHH65" s="64"/>
      <c r="BHI65" s="64"/>
      <c r="BHJ65" s="33"/>
      <c r="BHK65" s="132"/>
      <c r="BHL65" s="33"/>
      <c r="BHM65" s="33"/>
      <c r="BHN65" s="33"/>
      <c r="BHO65" s="33"/>
      <c r="BHP65" s="33"/>
      <c r="BHQ65" s="137"/>
      <c r="BHR65" s="33"/>
      <c r="BHS65" s="33"/>
      <c r="BHT65" s="33"/>
      <c r="BHU65" s="33"/>
      <c r="BHV65" s="33"/>
      <c r="BHW65" s="74"/>
      <c r="BHX65" s="33"/>
      <c r="BHY65" s="33"/>
      <c r="BHZ65" s="33"/>
      <c r="BIA65" s="33"/>
      <c r="BIB65" s="33"/>
      <c r="BIC65" s="137"/>
      <c r="BID65" s="33"/>
      <c r="BIE65" s="33"/>
      <c r="BIF65" s="33"/>
      <c r="BIG65" s="33"/>
      <c r="BIH65" s="33"/>
      <c r="BII65" s="74"/>
      <c r="BIJ65" s="64"/>
      <c r="BIK65" s="64"/>
      <c r="BIL65" s="64"/>
      <c r="BIM65" s="64"/>
      <c r="BIN65" s="33"/>
      <c r="BIO65" s="137"/>
      <c r="BIP65" s="33"/>
      <c r="BIQ65" s="33"/>
      <c r="BIR65" s="33"/>
      <c r="BIS65" s="33"/>
      <c r="BIT65" s="33"/>
      <c r="BIU65" s="74"/>
      <c r="BIV65" s="33"/>
      <c r="BIW65" s="33"/>
      <c r="BIX65" s="33"/>
      <c r="BIY65" s="33"/>
      <c r="BIZ65" s="33"/>
      <c r="BJA65" s="137"/>
      <c r="BJB65" s="33"/>
      <c r="BJC65" s="33"/>
      <c r="BJD65" s="33"/>
      <c r="BJE65" s="33"/>
      <c r="BJF65" s="33"/>
      <c r="BJG65" s="74"/>
      <c r="BJH65" s="33"/>
      <c r="BJI65" s="33"/>
      <c r="BJJ65" s="33"/>
      <c r="BJK65" s="33"/>
      <c r="BJL65" s="33"/>
      <c r="BJM65" s="34"/>
      <c r="BJN65" s="32"/>
      <c r="BJO65" s="64"/>
      <c r="BJP65" s="64"/>
      <c r="BJQ65" s="64"/>
      <c r="BJR65" s="33"/>
      <c r="BJS65" s="132"/>
      <c r="BJT65" s="33"/>
      <c r="BJU65" s="33"/>
      <c r="BJV65" s="33"/>
      <c r="BJW65" s="33"/>
      <c r="BJX65" s="33"/>
      <c r="BJY65" s="137"/>
      <c r="BJZ65" s="33"/>
      <c r="BKA65" s="33"/>
      <c r="BKB65" s="33"/>
      <c r="BKC65" s="33"/>
      <c r="BKD65" s="33"/>
      <c r="BKE65" s="74"/>
      <c r="BKF65" s="33"/>
      <c r="BKG65" s="33"/>
      <c r="BKH65" s="33"/>
      <c r="BKI65" s="33"/>
      <c r="BKJ65" s="33"/>
      <c r="BKK65" s="137"/>
      <c r="BKL65" s="33"/>
      <c r="BKM65" s="33"/>
      <c r="BKN65" s="33"/>
      <c r="BKO65" s="33"/>
      <c r="BKP65" s="33"/>
      <c r="BKQ65" s="74"/>
      <c r="BKR65" s="64"/>
      <c r="BKS65" s="64"/>
      <c r="BKT65" s="64"/>
      <c r="BKU65" s="64"/>
      <c r="BKV65" s="33"/>
      <c r="BKW65" s="137"/>
      <c r="BKX65" s="33"/>
      <c r="BKY65" s="33"/>
      <c r="BKZ65" s="33"/>
      <c r="BLA65" s="33"/>
      <c r="BLB65" s="33"/>
      <c r="BLC65" s="74"/>
      <c r="BLD65" s="33"/>
      <c r="BLE65" s="33"/>
      <c r="BLF65" s="33"/>
      <c r="BLG65" s="33"/>
      <c r="BLH65" s="33"/>
      <c r="BLI65" s="137"/>
      <c r="BLJ65" s="33"/>
      <c r="BLK65" s="33"/>
      <c r="BLL65" s="33"/>
      <c r="BLM65" s="33"/>
      <c r="BLN65" s="33"/>
      <c r="BLO65" s="74"/>
      <c r="BLP65" s="33"/>
      <c r="BLQ65" s="33"/>
      <c r="BLR65" s="33"/>
      <c r="BLS65" s="33"/>
      <c r="BLT65" s="33"/>
      <c r="BLU65" s="34"/>
      <c r="BLV65" s="90"/>
    </row>
    <row r="66" spans="1:1686" ht="20.100000000000001" customHeight="1" x14ac:dyDescent="0.3">
      <c r="A66" s="100" t="s">
        <v>18</v>
      </c>
      <c r="B66" s="63"/>
      <c r="C66" s="206"/>
      <c r="D66" s="148"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37"/>
      <c r="ALE66" s="37"/>
      <c r="ALF66" s="37"/>
      <c r="ALG66" s="75"/>
      <c r="ALH66" s="65"/>
      <c r="ALI66" s="65"/>
      <c r="ALJ66" s="65"/>
      <c r="ALK66" s="65"/>
      <c r="ALL66" s="37"/>
      <c r="ALM66" s="138"/>
      <c r="ALN66" s="37"/>
      <c r="ALO66" s="37"/>
      <c r="ALP66" s="37"/>
      <c r="ALQ66" s="37"/>
      <c r="ALR66" s="37"/>
      <c r="ALS66" s="75"/>
      <c r="ALT66" s="37"/>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36"/>
      <c r="BHG66" s="65"/>
      <c r="BHH66" s="65"/>
      <c r="BHI66" s="65"/>
      <c r="BHJ66" s="37"/>
      <c r="BHK66" s="133"/>
      <c r="BHL66" s="37"/>
      <c r="BHM66" s="37"/>
      <c r="BHN66" s="37"/>
      <c r="BHO66" s="37"/>
      <c r="BHP66" s="37"/>
      <c r="BHQ66" s="138"/>
      <c r="BHR66" s="37"/>
      <c r="BHS66" s="37"/>
      <c r="BHT66" s="37"/>
      <c r="BHU66" s="37"/>
      <c r="BHV66" s="37"/>
      <c r="BHW66" s="75"/>
      <c r="BHX66" s="37"/>
      <c r="BHY66" s="37"/>
      <c r="BHZ66" s="37"/>
      <c r="BIA66" s="37"/>
      <c r="BIB66" s="37"/>
      <c r="BIC66" s="138"/>
      <c r="BID66" s="37"/>
      <c r="BIE66" s="37"/>
      <c r="BIF66" s="37"/>
      <c r="BIG66" s="37"/>
      <c r="BIH66" s="37"/>
      <c r="BII66" s="75"/>
      <c r="BIJ66" s="65"/>
      <c r="BIK66" s="65"/>
      <c r="BIL66" s="65"/>
      <c r="BIM66" s="65"/>
      <c r="BIN66" s="37"/>
      <c r="BIO66" s="138"/>
      <c r="BIP66" s="37"/>
      <c r="BIQ66" s="37"/>
      <c r="BIR66" s="37"/>
      <c r="BIS66" s="37"/>
      <c r="BIT66" s="37"/>
      <c r="BIU66" s="75"/>
      <c r="BIV66" s="37"/>
      <c r="BIW66" s="37"/>
      <c r="BIX66" s="37"/>
      <c r="BIY66" s="37"/>
      <c r="BIZ66" s="37"/>
      <c r="BJA66" s="138"/>
      <c r="BJB66" s="37"/>
      <c r="BJC66" s="37"/>
      <c r="BJD66" s="37"/>
      <c r="BJE66" s="37"/>
      <c r="BJF66" s="37"/>
      <c r="BJG66" s="75"/>
      <c r="BJH66" s="37"/>
      <c r="BJI66" s="37"/>
      <c r="BJJ66" s="37"/>
      <c r="BJK66" s="37"/>
      <c r="BJL66" s="37"/>
      <c r="BJM66" s="38"/>
      <c r="BJN66" s="36"/>
      <c r="BJO66" s="65"/>
      <c r="BJP66" s="65"/>
      <c r="BJQ66" s="65"/>
      <c r="BJR66" s="37"/>
      <c r="BJS66" s="133"/>
      <c r="BJT66" s="37"/>
      <c r="BJU66" s="37"/>
      <c r="BJV66" s="37"/>
      <c r="BJW66" s="37"/>
      <c r="BJX66" s="37"/>
      <c r="BJY66" s="138"/>
      <c r="BJZ66" s="37"/>
      <c r="BKA66" s="37"/>
      <c r="BKB66" s="37"/>
      <c r="BKC66" s="37"/>
      <c r="BKD66" s="37"/>
      <c r="BKE66" s="75"/>
      <c r="BKF66" s="37"/>
      <c r="BKG66" s="37"/>
      <c r="BKH66" s="37"/>
      <c r="BKI66" s="37"/>
      <c r="BKJ66" s="37"/>
      <c r="BKK66" s="138"/>
      <c r="BKL66" s="37"/>
      <c r="BKM66" s="37"/>
      <c r="BKN66" s="37"/>
      <c r="BKO66" s="37"/>
      <c r="BKP66" s="37"/>
      <c r="BKQ66" s="75"/>
      <c r="BKR66" s="65"/>
      <c r="BKS66" s="65"/>
      <c r="BKT66" s="65"/>
      <c r="BKU66" s="65"/>
      <c r="BKV66" s="37"/>
      <c r="BKW66" s="138"/>
      <c r="BKX66" s="37"/>
      <c r="BKY66" s="37"/>
      <c r="BKZ66" s="37"/>
      <c r="BLA66" s="37"/>
      <c r="BLB66" s="37"/>
      <c r="BLC66" s="75"/>
      <c r="BLD66" s="37"/>
      <c r="BLE66" s="37"/>
      <c r="BLF66" s="37"/>
      <c r="BLG66" s="37"/>
      <c r="BLH66" s="37"/>
      <c r="BLI66" s="138"/>
      <c r="BLJ66" s="37"/>
      <c r="BLK66" s="37"/>
      <c r="BLL66" s="37"/>
      <c r="BLM66" s="37"/>
      <c r="BLN66" s="37"/>
      <c r="BLO66" s="75"/>
      <c r="BLP66" s="37"/>
      <c r="BLQ66" s="37"/>
      <c r="BLR66" s="37"/>
      <c r="BLS66" s="37"/>
      <c r="BLT66" s="37"/>
      <c r="BLU66" s="38"/>
      <c r="BLV66" s="90"/>
    </row>
    <row r="67" spans="1:1686" ht="20.100000000000001" customHeight="1" x14ac:dyDescent="0.25">
      <c r="A67" s="100" t="s">
        <v>17</v>
      </c>
      <c r="B67" s="63"/>
      <c r="C67" s="205"/>
      <c r="D67" s="146"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41"/>
      <c r="SK67" s="41"/>
      <c r="SL67" s="41"/>
      <c r="SM67" s="41"/>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41"/>
      <c r="VA67" s="41"/>
      <c r="VB67" s="41"/>
      <c r="VC67" s="76"/>
      <c r="VD67" s="66"/>
      <c r="VE67" s="66"/>
      <c r="VF67" s="66"/>
      <c r="VG67" s="66"/>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66"/>
      <c r="YS67" s="66"/>
      <c r="YT67" s="41"/>
      <c r="YU67" s="134"/>
      <c r="YV67" s="41"/>
      <c r="YW67" s="41"/>
      <c r="YX67" s="41"/>
      <c r="YY67" s="41"/>
      <c r="YZ67" s="41"/>
      <c r="ZA67" s="139"/>
      <c r="ZB67" s="41"/>
      <c r="ZC67" s="41"/>
      <c r="ZD67" s="41"/>
      <c r="ZE67" s="41"/>
      <c r="ZF67" s="41"/>
      <c r="ZG67" s="76"/>
      <c r="ZH67" s="41"/>
      <c r="ZI67" s="41"/>
      <c r="ZJ67" s="41"/>
      <c r="ZK67" s="41"/>
      <c r="ZL67" s="41"/>
      <c r="ZM67" s="139"/>
      <c r="ZN67" s="41"/>
      <c r="ZO67" s="41"/>
      <c r="ZP67" s="41"/>
      <c r="ZQ67" s="41"/>
      <c r="ZR67" s="41"/>
      <c r="ZS67" s="76"/>
      <c r="ZT67" s="66"/>
      <c r="ZU67" s="66"/>
      <c r="ZV67" s="66"/>
      <c r="ZW67" s="66"/>
      <c r="ZX67" s="41"/>
      <c r="ZY67" s="139"/>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41"/>
      <c r="ADS67" s="41"/>
      <c r="ADT67" s="41"/>
      <c r="ADU67" s="41"/>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41"/>
      <c r="AES67" s="41"/>
      <c r="AET67" s="41"/>
      <c r="AEU67" s="76"/>
      <c r="AEV67" s="41"/>
      <c r="AEW67" s="41"/>
      <c r="AEX67" s="41"/>
      <c r="AEY67" s="41"/>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41"/>
      <c r="AGP67" s="41"/>
      <c r="AGQ67" s="76"/>
      <c r="AGR67" s="66"/>
      <c r="AGS67" s="66"/>
      <c r="AGT67" s="66"/>
      <c r="AGU67" s="66"/>
      <c r="AGV67" s="41"/>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41"/>
      <c r="AJE67" s="139"/>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41"/>
      <c r="AKQ67" s="41"/>
      <c r="AKR67" s="41"/>
      <c r="AKS67" s="41"/>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41"/>
      <c r="ALS67" s="76"/>
      <c r="ALT67" s="41"/>
      <c r="ALU67" s="41"/>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66"/>
      <c r="ANS67" s="66"/>
      <c r="ANT67" s="41"/>
      <c r="ANU67" s="139"/>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41"/>
      <c r="AQK67" s="41"/>
      <c r="AQL67" s="41"/>
      <c r="AQM67" s="41"/>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41"/>
      <c r="ARU67" s="41"/>
      <c r="ARV67" s="41"/>
      <c r="ARW67" s="41"/>
      <c r="ARX67" s="41"/>
      <c r="ARY67" s="139"/>
      <c r="ARZ67" s="41"/>
      <c r="ASA67" s="41"/>
      <c r="ASB67" s="41"/>
      <c r="ASC67" s="41"/>
      <c r="ASD67" s="41"/>
      <c r="ASE67" s="76"/>
      <c r="ASF67" s="66"/>
      <c r="ASG67" s="66"/>
      <c r="ASH67" s="66"/>
      <c r="ASI67" s="66"/>
      <c r="ASJ67" s="41"/>
      <c r="ASK67" s="139"/>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40"/>
      <c r="ATK67" s="66"/>
      <c r="ATL67" s="66"/>
      <c r="ATM67" s="66"/>
      <c r="ATN67" s="41"/>
      <c r="ATO67" s="134"/>
      <c r="ATP67" s="41"/>
      <c r="ATQ67" s="41"/>
      <c r="ATR67" s="41"/>
      <c r="ATS67" s="41"/>
      <c r="ATT67" s="41"/>
      <c r="ATU67" s="139"/>
      <c r="ATV67" s="41"/>
      <c r="ATW67" s="41"/>
      <c r="ATX67" s="41"/>
      <c r="ATY67" s="41"/>
      <c r="ATZ67" s="41"/>
      <c r="AUA67" s="76"/>
      <c r="AUB67" s="41"/>
      <c r="AUC67" s="41"/>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40"/>
      <c r="BHG67" s="66"/>
      <c r="BHH67" s="66"/>
      <c r="BHI67" s="66"/>
      <c r="BHJ67" s="41"/>
      <c r="BHK67" s="134"/>
      <c r="BHL67" s="41"/>
      <c r="BHM67" s="41"/>
      <c r="BHN67" s="41"/>
      <c r="BHO67" s="41"/>
      <c r="BHP67" s="41"/>
      <c r="BHQ67" s="139"/>
      <c r="BHR67" s="41"/>
      <c r="BHS67" s="41"/>
      <c r="BHT67" s="41"/>
      <c r="BHU67" s="41"/>
      <c r="BHV67" s="41"/>
      <c r="BHW67" s="76"/>
      <c r="BHX67" s="41"/>
      <c r="BHY67" s="41"/>
      <c r="BHZ67" s="41"/>
      <c r="BIA67" s="41"/>
      <c r="BIB67" s="41"/>
      <c r="BIC67" s="139"/>
      <c r="BID67" s="41"/>
      <c r="BIE67" s="41"/>
      <c r="BIF67" s="41"/>
      <c r="BIG67" s="41"/>
      <c r="BIH67" s="41"/>
      <c r="BII67" s="76"/>
      <c r="BIJ67" s="66"/>
      <c r="BIK67" s="66"/>
      <c r="BIL67" s="66"/>
      <c r="BIM67" s="66"/>
      <c r="BIN67" s="41"/>
      <c r="BIO67" s="139"/>
      <c r="BIP67" s="41"/>
      <c r="BIQ67" s="41"/>
      <c r="BIR67" s="41"/>
      <c r="BIS67" s="41"/>
      <c r="BIT67" s="41"/>
      <c r="BIU67" s="76"/>
      <c r="BIV67" s="41"/>
      <c r="BIW67" s="41"/>
      <c r="BIX67" s="41"/>
      <c r="BIY67" s="41"/>
      <c r="BIZ67" s="41"/>
      <c r="BJA67" s="139"/>
      <c r="BJB67" s="41"/>
      <c r="BJC67" s="41"/>
      <c r="BJD67" s="41"/>
      <c r="BJE67" s="41"/>
      <c r="BJF67" s="41"/>
      <c r="BJG67" s="76"/>
      <c r="BJH67" s="41"/>
      <c r="BJI67" s="41"/>
      <c r="BJJ67" s="41"/>
      <c r="BJK67" s="41"/>
      <c r="BJL67" s="41"/>
      <c r="BJM67" s="42"/>
      <c r="BJN67" s="40"/>
      <c r="BJO67" s="66"/>
      <c r="BJP67" s="66"/>
      <c r="BJQ67" s="66"/>
      <c r="BJR67" s="41"/>
      <c r="BJS67" s="134"/>
      <c r="BJT67" s="41"/>
      <c r="BJU67" s="41"/>
      <c r="BJV67" s="41"/>
      <c r="BJW67" s="41"/>
      <c r="BJX67" s="41"/>
      <c r="BJY67" s="139"/>
      <c r="BJZ67" s="41"/>
      <c r="BKA67" s="41"/>
      <c r="BKB67" s="41"/>
      <c r="BKC67" s="41"/>
      <c r="BKD67" s="41"/>
      <c r="BKE67" s="76"/>
      <c r="BKF67" s="41"/>
      <c r="BKG67" s="41"/>
      <c r="BKH67" s="41"/>
      <c r="BKI67" s="41"/>
      <c r="BKJ67" s="41"/>
      <c r="BKK67" s="139"/>
      <c r="BKL67" s="41"/>
      <c r="BKM67" s="41"/>
      <c r="BKN67" s="41"/>
      <c r="BKO67" s="41"/>
      <c r="BKP67" s="41"/>
      <c r="BKQ67" s="76"/>
      <c r="BKR67" s="66"/>
      <c r="BKS67" s="66"/>
      <c r="BKT67" s="66"/>
      <c r="BKU67" s="66"/>
      <c r="BKV67" s="41"/>
      <c r="BKW67" s="139"/>
      <c r="BKX67" s="41"/>
      <c r="BKY67" s="41"/>
      <c r="BKZ67" s="41"/>
      <c r="BLA67" s="41"/>
      <c r="BLB67" s="41"/>
      <c r="BLC67" s="76"/>
      <c r="BLD67" s="41"/>
      <c r="BLE67" s="41"/>
      <c r="BLF67" s="41"/>
      <c r="BLG67" s="41"/>
      <c r="BLH67" s="41"/>
      <c r="BLI67" s="139"/>
      <c r="BLJ67" s="41"/>
      <c r="BLK67" s="41"/>
      <c r="BLL67" s="41"/>
      <c r="BLM67" s="41"/>
      <c r="BLN67" s="41"/>
      <c r="BLO67" s="76"/>
      <c r="BLP67" s="41"/>
      <c r="BLQ67" s="41"/>
      <c r="BLR67" s="41"/>
      <c r="BLS67" s="41"/>
      <c r="BLT67" s="41"/>
      <c r="BLU67" s="42"/>
      <c r="BLV67" s="90"/>
    </row>
    <row r="68" spans="1:1686" ht="20.100000000000001" customHeight="1" x14ac:dyDescent="0.25">
      <c r="A68" s="100" t="s">
        <v>18</v>
      </c>
      <c r="B68" s="63"/>
      <c r="C68" s="207"/>
      <c r="D68" s="147"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29"/>
      <c r="VO68" s="73"/>
      <c r="VP68" s="29"/>
      <c r="VQ68" s="29"/>
      <c r="VR68" s="29"/>
      <c r="VS68" s="2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67"/>
      <c r="ZV68" s="67"/>
      <c r="ZW68" s="67"/>
      <c r="ZX68" s="29"/>
      <c r="ZY68" s="136"/>
      <c r="ZZ68" s="29"/>
      <c r="AAA68" s="2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67"/>
      <c r="ACF68" s="29"/>
      <c r="ACG68" s="136"/>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29"/>
      <c r="AIJ68" s="29"/>
      <c r="AIK68" s="29"/>
      <c r="AIL68" s="29"/>
      <c r="AIM68" s="73"/>
      <c r="AIN68" s="29"/>
      <c r="AIO68" s="29"/>
      <c r="AIP68" s="29"/>
      <c r="AIQ68" s="29"/>
      <c r="AIR68" s="29"/>
      <c r="AIS68" s="136"/>
      <c r="AIT68" s="29"/>
      <c r="AIU68" s="29"/>
      <c r="AIV68" s="29"/>
      <c r="AIW68" s="29"/>
      <c r="AIX68" s="29"/>
      <c r="AIY68" s="73"/>
      <c r="AIZ68" s="67"/>
      <c r="AJA68" s="67"/>
      <c r="AJB68" s="67"/>
      <c r="AJC68" s="67"/>
      <c r="AJD68" s="29"/>
      <c r="AJE68" s="136"/>
      <c r="AJF68" s="2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31"/>
      <c r="AKJ68" s="29"/>
      <c r="AKK68" s="29"/>
      <c r="AKL68" s="29"/>
      <c r="AKM68" s="29"/>
      <c r="AKN68" s="29"/>
      <c r="AKO68" s="136"/>
      <c r="AKP68" s="29"/>
      <c r="AKQ68" s="29"/>
      <c r="AKR68" s="29"/>
      <c r="AKS68" s="29"/>
      <c r="AKT68" s="29"/>
      <c r="AKU68" s="73"/>
      <c r="AKV68" s="29"/>
      <c r="AKW68" s="29"/>
      <c r="AKX68" s="29"/>
      <c r="AKY68" s="29"/>
      <c r="AKZ68" s="29"/>
      <c r="ALA68" s="136"/>
      <c r="ALB68" s="29"/>
      <c r="ALC68" s="29"/>
      <c r="ALD68" s="29"/>
      <c r="ALE68" s="29"/>
      <c r="ALF68" s="29"/>
      <c r="ALG68" s="73"/>
      <c r="ALH68" s="67"/>
      <c r="ALI68" s="67"/>
      <c r="ALJ68" s="67"/>
      <c r="ALK68" s="67"/>
      <c r="ALL68" s="29"/>
      <c r="ALM68" s="136"/>
      <c r="ALN68" s="29"/>
      <c r="ALO68" s="29"/>
      <c r="ALP68" s="29"/>
      <c r="ALQ68" s="29"/>
      <c r="ALR68" s="29"/>
      <c r="ALS68" s="73"/>
      <c r="ALT68" s="29"/>
      <c r="ALU68" s="29"/>
      <c r="ALV68" s="29"/>
      <c r="ALW68" s="29"/>
      <c r="ALX68" s="29"/>
      <c r="ALY68" s="13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29"/>
      <c r="ANL68" s="29"/>
      <c r="ANM68" s="29"/>
      <c r="ANN68" s="29"/>
      <c r="ANO68" s="73"/>
      <c r="ANP68" s="67"/>
      <c r="ANQ68" s="67"/>
      <c r="ANR68" s="67"/>
      <c r="ANS68" s="67"/>
      <c r="ANT68" s="29"/>
      <c r="ANU68" s="136"/>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29"/>
      <c r="APE68" s="136"/>
      <c r="APF68" s="29"/>
      <c r="APG68" s="29"/>
      <c r="APH68" s="29"/>
      <c r="API68" s="29"/>
      <c r="APJ68" s="29"/>
      <c r="APK68" s="73"/>
      <c r="APL68" s="29"/>
      <c r="APM68" s="29"/>
      <c r="APN68" s="29"/>
      <c r="APO68" s="29"/>
      <c r="APP68" s="29"/>
      <c r="APQ68" s="136"/>
      <c r="APR68" s="29"/>
      <c r="APS68" s="29"/>
      <c r="APT68" s="29"/>
      <c r="APU68" s="29"/>
      <c r="APV68" s="29"/>
      <c r="APW68" s="73"/>
      <c r="APX68" s="67"/>
      <c r="APY68" s="67"/>
      <c r="APZ68" s="67"/>
      <c r="AQA68" s="67"/>
      <c r="AQB68" s="29"/>
      <c r="AQC68" s="136"/>
      <c r="AQD68" s="29"/>
      <c r="AQE68" s="29"/>
      <c r="AQF68" s="29"/>
      <c r="AQG68" s="29"/>
      <c r="AQH68" s="29"/>
      <c r="AQI68" s="73"/>
      <c r="AQJ68" s="29"/>
      <c r="AQK68" s="29"/>
      <c r="AQL68" s="29"/>
      <c r="AQM68" s="29"/>
      <c r="AQN68" s="2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28"/>
      <c r="BHG68" s="67"/>
      <c r="BHH68" s="67"/>
      <c r="BHI68" s="67"/>
      <c r="BHJ68" s="29"/>
      <c r="BHK68" s="131"/>
      <c r="BHL68" s="29"/>
      <c r="BHM68" s="29"/>
      <c r="BHN68" s="29"/>
      <c r="BHO68" s="29"/>
      <c r="BHP68" s="29"/>
      <c r="BHQ68" s="136"/>
      <c r="BHR68" s="29"/>
      <c r="BHS68" s="29"/>
      <c r="BHT68" s="29"/>
      <c r="BHU68" s="29"/>
      <c r="BHV68" s="29"/>
      <c r="BHW68" s="73"/>
      <c r="BHX68" s="29"/>
      <c r="BHY68" s="29"/>
      <c r="BHZ68" s="29"/>
      <c r="BIA68" s="29"/>
      <c r="BIB68" s="29"/>
      <c r="BIC68" s="136"/>
      <c r="BID68" s="29"/>
      <c r="BIE68" s="29"/>
      <c r="BIF68" s="29"/>
      <c r="BIG68" s="29"/>
      <c r="BIH68" s="29"/>
      <c r="BII68" s="73"/>
      <c r="BIJ68" s="67"/>
      <c r="BIK68" s="67"/>
      <c r="BIL68" s="67"/>
      <c r="BIM68" s="67"/>
      <c r="BIN68" s="29"/>
      <c r="BIO68" s="136"/>
      <c r="BIP68" s="29"/>
      <c r="BIQ68" s="29"/>
      <c r="BIR68" s="29"/>
      <c r="BIS68" s="29"/>
      <c r="BIT68" s="29"/>
      <c r="BIU68" s="73"/>
      <c r="BIV68" s="29"/>
      <c r="BIW68" s="29"/>
      <c r="BIX68" s="29"/>
      <c r="BIY68" s="29"/>
      <c r="BIZ68" s="29"/>
      <c r="BJA68" s="136"/>
      <c r="BJB68" s="29"/>
      <c r="BJC68" s="29"/>
      <c r="BJD68" s="29"/>
      <c r="BJE68" s="29"/>
      <c r="BJF68" s="29"/>
      <c r="BJG68" s="73"/>
      <c r="BJH68" s="29"/>
      <c r="BJI68" s="29"/>
      <c r="BJJ68" s="29"/>
      <c r="BJK68" s="29"/>
      <c r="BJL68" s="29"/>
      <c r="BJM68" s="30"/>
      <c r="BJN68" s="28"/>
      <c r="BJO68" s="67"/>
      <c r="BJP68" s="67"/>
      <c r="BJQ68" s="67"/>
      <c r="BJR68" s="29"/>
      <c r="BJS68" s="131"/>
      <c r="BJT68" s="29"/>
      <c r="BJU68" s="29"/>
      <c r="BJV68" s="29"/>
      <c r="BJW68" s="29"/>
      <c r="BJX68" s="29"/>
      <c r="BJY68" s="136"/>
      <c r="BJZ68" s="29"/>
      <c r="BKA68" s="29"/>
      <c r="BKB68" s="29"/>
      <c r="BKC68" s="29"/>
      <c r="BKD68" s="29"/>
      <c r="BKE68" s="73"/>
      <c r="BKF68" s="29"/>
      <c r="BKG68" s="29"/>
      <c r="BKH68" s="29"/>
      <c r="BKI68" s="29"/>
      <c r="BKJ68" s="29"/>
      <c r="BKK68" s="136"/>
      <c r="BKL68" s="29"/>
      <c r="BKM68" s="29"/>
      <c r="BKN68" s="29"/>
      <c r="BKO68" s="29"/>
      <c r="BKP68" s="29"/>
      <c r="BKQ68" s="73"/>
      <c r="BKR68" s="67"/>
      <c r="BKS68" s="67"/>
      <c r="BKT68" s="67"/>
      <c r="BKU68" s="67"/>
      <c r="BKV68" s="29"/>
      <c r="BKW68" s="136"/>
      <c r="BKX68" s="29"/>
      <c r="BKY68" s="29"/>
      <c r="BKZ68" s="29"/>
      <c r="BLA68" s="29"/>
      <c r="BLB68" s="29"/>
      <c r="BLC68" s="73"/>
      <c r="BLD68" s="29"/>
      <c r="BLE68" s="29"/>
      <c r="BLF68" s="29"/>
      <c r="BLG68" s="29"/>
      <c r="BLH68" s="29"/>
      <c r="BLI68" s="136"/>
      <c r="BLJ68" s="29"/>
      <c r="BLK68" s="29"/>
      <c r="BLL68" s="29"/>
      <c r="BLM68" s="29"/>
      <c r="BLN68" s="29"/>
      <c r="BLO68" s="73"/>
      <c r="BLP68" s="29"/>
      <c r="BLQ68" s="29"/>
      <c r="BLR68" s="29"/>
      <c r="BLS68" s="29"/>
      <c r="BLT68" s="29"/>
      <c r="BLU68" s="30"/>
      <c r="BLV68" s="90"/>
    </row>
    <row r="69" spans="1:1686" ht="20.100000000000001" customHeight="1" x14ac:dyDescent="0.25">
      <c r="A69" s="100" t="s">
        <v>17</v>
      </c>
      <c r="B69" s="63"/>
      <c r="C69" s="205"/>
      <c r="D69" s="146"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33"/>
      <c r="SO69" s="137"/>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33"/>
      <c r="VI69" s="137"/>
      <c r="VJ69" s="33"/>
      <c r="VK69" s="3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33"/>
      <c r="ZE69" s="33"/>
      <c r="ZF69" s="33"/>
      <c r="ZG69" s="74"/>
      <c r="ZH69" s="33"/>
      <c r="ZI69" s="33"/>
      <c r="ZJ69" s="33"/>
      <c r="ZK69" s="33"/>
      <c r="ZL69" s="33"/>
      <c r="ZM69" s="137"/>
      <c r="ZN69" s="33"/>
      <c r="ZO69" s="33"/>
      <c r="ZP69" s="33"/>
      <c r="ZQ69" s="33"/>
      <c r="ZR69" s="33"/>
      <c r="ZS69" s="74"/>
      <c r="ZT69" s="64"/>
      <c r="ZU69" s="64"/>
      <c r="ZV69" s="64"/>
      <c r="ZW69" s="64"/>
      <c r="ZX69" s="33"/>
      <c r="ZY69" s="137"/>
      <c r="ZZ69" s="33"/>
      <c r="AAA69" s="3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33"/>
      <c r="ADW69" s="74"/>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33"/>
      <c r="AFA69" s="137"/>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37"/>
      <c r="AGX69" s="33"/>
      <c r="AGY69" s="3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33"/>
      <c r="AJG69" s="3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33"/>
      <c r="AKU69" s="74"/>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33"/>
      <c r="ALW69" s="33"/>
      <c r="ALX69" s="33"/>
      <c r="ALY69" s="137"/>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33"/>
      <c r="ANW69" s="3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33"/>
      <c r="AQO69" s="137"/>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33"/>
      <c r="ASB69" s="33"/>
      <c r="ASC69" s="33"/>
      <c r="ASD69" s="33"/>
      <c r="ASE69" s="74"/>
      <c r="ASF69" s="64"/>
      <c r="ASG69" s="64"/>
      <c r="ASH69" s="64"/>
      <c r="ASI69" s="64"/>
      <c r="ASJ69" s="33"/>
      <c r="ASK69" s="137"/>
      <c r="ASL69" s="33"/>
      <c r="ASM69" s="3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32"/>
      <c r="AVS69" s="64"/>
      <c r="AVT69" s="64"/>
      <c r="AVU69" s="64"/>
      <c r="AVV69" s="33"/>
      <c r="AVW69" s="132"/>
      <c r="AVX69" s="33"/>
      <c r="AVY69" s="33"/>
      <c r="AVZ69" s="33"/>
      <c r="AWA69" s="33"/>
      <c r="AWB69" s="33"/>
      <c r="AWC69" s="137"/>
      <c r="AWD69" s="33"/>
      <c r="AWE69" s="33"/>
      <c r="AWF69" s="33"/>
      <c r="AWG69" s="33"/>
      <c r="AWH69" s="33"/>
      <c r="AWI69" s="74"/>
      <c r="AWJ69" s="33"/>
      <c r="AWK69" s="33"/>
      <c r="AWL69" s="33"/>
      <c r="AWM69" s="33"/>
      <c r="AWN69" s="33"/>
      <c r="AWO69" s="137"/>
      <c r="AWP69" s="33"/>
      <c r="AWQ69" s="33"/>
      <c r="AWR69" s="33"/>
      <c r="AWS69" s="33"/>
      <c r="AWT69" s="33"/>
      <c r="AWU69" s="74"/>
      <c r="AWV69" s="64"/>
      <c r="AWW69" s="64"/>
      <c r="AWX69" s="64"/>
      <c r="AWY69" s="64"/>
      <c r="AWZ69" s="33"/>
      <c r="AXA69" s="137"/>
      <c r="AXB69" s="33"/>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32"/>
      <c r="BHG69" s="64"/>
      <c r="BHH69" s="64"/>
      <c r="BHI69" s="64"/>
      <c r="BHJ69" s="33"/>
      <c r="BHK69" s="132"/>
      <c r="BHL69" s="33"/>
      <c r="BHM69" s="33"/>
      <c r="BHN69" s="33"/>
      <c r="BHO69" s="33"/>
      <c r="BHP69" s="33"/>
      <c r="BHQ69" s="137"/>
      <c r="BHR69" s="33"/>
      <c r="BHS69" s="33"/>
      <c r="BHT69" s="33"/>
      <c r="BHU69" s="33"/>
      <c r="BHV69" s="33"/>
      <c r="BHW69" s="74"/>
      <c r="BHX69" s="33"/>
      <c r="BHY69" s="33"/>
      <c r="BHZ69" s="33"/>
      <c r="BIA69" s="33"/>
      <c r="BIB69" s="33"/>
      <c r="BIC69" s="137"/>
      <c r="BID69" s="33"/>
      <c r="BIE69" s="33"/>
      <c r="BIF69" s="33"/>
      <c r="BIG69" s="33"/>
      <c r="BIH69" s="33"/>
      <c r="BII69" s="74"/>
      <c r="BIJ69" s="64"/>
      <c r="BIK69" s="64"/>
      <c r="BIL69" s="64"/>
      <c r="BIM69" s="64"/>
      <c r="BIN69" s="33"/>
      <c r="BIO69" s="137"/>
      <c r="BIP69" s="33"/>
      <c r="BIQ69" s="33"/>
      <c r="BIR69" s="33"/>
      <c r="BIS69" s="33"/>
      <c r="BIT69" s="33"/>
      <c r="BIU69" s="74"/>
      <c r="BIV69" s="33"/>
      <c r="BIW69" s="33"/>
      <c r="BIX69" s="33"/>
      <c r="BIY69" s="33"/>
      <c r="BIZ69" s="33"/>
      <c r="BJA69" s="137"/>
      <c r="BJB69" s="33"/>
      <c r="BJC69" s="33"/>
      <c r="BJD69" s="33"/>
      <c r="BJE69" s="33"/>
      <c r="BJF69" s="33"/>
      <c r="BJG69" s="74"/>
      <c r="BJH69" s="33"/>
      <c r="BJI69" s="33"/>
      <c r="BJJ69" s="33"/>
      <c r="BJK69" s="33"/>
      <c r="BJL69" s="33"/>
      <c r="BJM69" s="34"/>
      <c r="BJN69" s="32"/>
      <c r="BJO69" s="64"/>
      <c r="BJP69" s="64"/>
      <c r="BJQ69" s="64"/>
      <c r="BJR69" s="33"/>
      <c r="BJS69" s="132"/>
      <c r="BJT69" s="33"/>
      <c r="BJU69" s="33"/>
      <c r="BJV69" s="33"/>
      <c r="BJW69" s="33"/>
      <c r="BJX69" s="33"/>
      <c r="BJY69" s="137"/>
      <c r="BJZ69" s="33"/>
      <c r="BKA69" s="33"/>
      <c r="BKB69" s="33"/>
      <c r="BKC69" s="33"/>
      <c r="BKD69" s="33"/>
      <c r="BKE69" s="74"/>
      <c r="BKF69" s="33"/>
      <c r="BKG69" s="33"/>
      <c r="BKH69" s="33"/>
      <c r="BKI69" s="33"/>
      <c r="BKJ69" s="33"/>
      <c r="BKK69" s="137"/>
      <c r="BKL69" s="33"/>
      <c r="BKM69" s="33"/>
      <c r="BKN69" s="33"/>
      <c r="BKO69" s="33"/>
      <c r="BKP69" s="33"/>
      <c r="BKQ69" s="74"/>
      <c r="BKR69" s="64"/>
      <c r="BKS69" s="64"/>
      <c r="BKT69" s="64"/>
      <c r="BKU69" s="64"/>
      <c r="BKV69" s="33"/>
      <c r="BKW69" s="137"/>
      <c r="BKX69" s="33"/>
      <c r="BKY69" s="33"/>
      <c r="BKZ69" s="33"/>
      <c r="BLA69" s="33"/>
      <c r="BLB69" s="33"/>
      <c r="BLC69" s="74"/>
      <c r="BLD69" s="33"/>
      <c r="BLE69" s="33"/>
      <c r="BLF69" s="33"/>
      <c r="BLG69" s="33"/>
      <c r="BLH69" s="33"/>
      <c r="BLI69" s="137"/>
      <c r="BLJ69" s="33"/>
      <c r="BLK69" s="33"/>
      <c r="BLL69" s="33"/>
      <c r="BLM69" s="33"/>
      <c r="BLN69" s="33"/>
      <c r="BLO69" s="74"/>
      <c r="BLP69" s="33"/>
      <c r="BLQ69" s="33"/>
      <c r="BLR69" s="33"/>
      <c r="BLS69" s="33"/>
      <c r="BLT69" s="33"/>
      <c r="BLU69" s="34"/>
      <c r="BLV69" s="90"/>
    </row>
    <row r="70" spans="1:1686" ht="20.100000000000001" customHeight="1" x14ac:dyDescent="0.3">
      <c r="A70" s="100" t="s">
        <v>18</v>
      </c>
      <c r="B70" s="63"/>
      <c r="C70" s="206"/>
      <c r="D70" s="148"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37"/>
      <c r="VU70" s="138"/>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37"/>
      <c r="ABE70" s="37"/>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37"/>
      <c r="ACI70" s="37"/>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37"/>
      <c r="AIK70" s="37"/>
      <c r="AIL70" s="37"/>
      <c r="AIM70" s="75"/>
      <c r="AIN70" s="37"/>
      <c r="AIO70" s="37"/>
      <c r="AIP70" s="37"/>
      <c r="AIQ70" s="37"/>
      <c r="AIR70" s="37"/>
      <c r="AIS70" s="138"/>
      <c r="AIT70" s="37"/>
      <c r="AIU70" s="37"/>
      <c r="AIV70" s="37"/>
      <c r="AIW70" s="37"/>
      <c r="AIX70" s="37"/>
      <c r="AIY70" s="75"/>
      <c r="AIZ70" s="65"/>
      <c r="AJA70" s="65"/>
      <c r="AJB70" s="65"/>
      <c r="AJC70" s="65"/>
      <c r="AJD70" s="37"/>
      <c r="AJE70" s="138"/>
      <c r="AJF70" s="37"/>
      <c r="AJG70" s="37"/>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37"/>
      <c r="ALA70" s="138"/>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37"/>
      <c r="ALY70" s="138"/>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37"/>
      <c r="AMZ70" s="37"/>
      <c r="ANA70" s="37"/>
      <c r="ANB70" s="37"/>
      <c r="ANC70" s="75"/>
      <c r="AND70" s="37"/>
      <c r="ANE70" s="37"/>
      <c r="ANF70" s="37"/>
      <c r="ANG70" s="37"/>
      <c r="ANH70" s="37"/>
      <c r="ANI70" s="138"/>
      <c r="ANJ70" s="37"/>
      <c r="ANK70" s="37"/>
      <c r="ANL70" s="37"/>
      <c r="ANM70" s="37"/>
      <c r="ANN70" s="37"/>
      <c r="ANO70" s="75"/>
      <c r="ANP70" s="65"/>
      <c r="ANQ70" s="65"/>
      <c r="ANR70" s="65"/>
      <c r="ANS70" s="65"/>
      <c r="ANT70" s="37"/>
      <c r="ANU70" s="138"/>
      <c r="ANV70" s="37"/>
      <c r="ANW70" s="37"/>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36"/>
      <c r="AOU70" s="65"/>
      <c r="AOV70" s="65"/>
      <c r="AOW70" s="65"/>
      <c r="AOX70" s="37"/>
      <c r="AOY70" s="133"/>
      <c r="AOZ70" s="37"/>
      <c r="APA70" s="37"/>
      <c r="APB70" s="37"/>
      <c r="APC70" s="37"/>
      <c r="APD70" s="37"/>
      <c r="APE70" s="138"/>
      <c r="APF70" s="37"/>
      <c r="APG70" s="37"/>
      <c r="APH70" s="37"/>
      <c r="API70" s="37"/>
      <c r="APJ70" s="37"/>
      <c r="APK70" s="75"/>
      <c r="APL70" s="37"/>
      <c r="APM70" s="37"/>
      <c r="APN70" s="37"/>
      <c r="APO70" s="37"/>
      <c r="APP70" s="37"/>
      <c r="APQ70" s="138"/>
      <c r="APR70" s="37"/>
      <c r="APS70" s="37"/>
      <c r="APT70" s="37"/>
      <c r="APU70" s="37"/>
      <c r="APV70" s="37"/>
      <c r="APW70" s="75"/>
      <c r="APX70" s="65"/>
      <c r="APY70" s="65"/>
      <c r="APZ70" s="65"/>
      <c r="AQA70" s="65"/>
      <c r="AQB70" s="37"/>
      <c r="AQC70" s="138"/>
      <c r="AQD70" s="37"/>
      <c r="AQE70" s="37"/>
      <c r="AQF70" s="37"/>
      <c r="AQG70" s="37"/>
      <c r="AQH70" s="37"/>
      <c r="AQI70" s="75"/>
      <c r="AQJ70" s="37"/>
      <c r="AQK70" s="37"/>
      <c r="AQL70" s="37"/>
      <c r="AQM70" s="37"/>
      <c r="AQN70" s="37"/>
      <c r="AQO70" s="138"/>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36"/>
      <c r="BHG70" s="65"/>
      <c r="BHH70" s="65"/>
      <c r="BHI70" s="65"/>
      <c r="BHJ70" s="37"/>
      <c r="BHK70" s="133"/>
      <c r="BHL70" s="37"/>
      <c r="BHM70" s="37"/>
      <c r="BHN70" s="37"/>
      <c r="BHO70" s="37"/>
      <c r="BHP70" s="37"/>
      <c r="BHQ70" s="138"/>
      <c r="BHR70" s="37"/>
      <c r="BHS70" s="37"/>
      <c r="BHT70" s="37"/>
      <c r="BHU70" s="37"/>
      <c r="BHV70" s="37"/>
      <c r="BHW70" s="75"/>
      <c r="BHX70" s="37"/>
      <c r="BHY70" s="37"/>
      <c r="BHZ70" s="37"/>
      <c r="BIA70" s="37"/>
      <c r="BIB70" s="37"/>
      <c r="BIC70" s="138"/>
      <c r="BID70" s="37"/>
      <c r="BIE70" s="37"/>
      <c r="BIF70" s="37"/>
      <c r="BIG70" s="37"/>
      <c r="BIH70" s="37"/>
      <c r="BII70" s="75"/>
      <c r="BIJ70" s="65"/>
      <c r="BIK70" s="65"/>
      <c r="BIL70" s="65"/>
      <c r="BIM70" s="65"/>
      <c r="BIN70" s="37"/>
      <c r="BIO70" s="138"/>
      <c r="BIP70" s="37"/>
      <c r="BIQ70" s="37"/>
      <c r="BIR70" s="37"/>
      <c r="BIS70" s="37"/>
      <c r="BIT70" s="37"/>
      <c r="BIU70" s="75"/>
      <c r="BIV70" s="37"/>
      <c r="BIW70" s="37"/>
      <c r="BIX70" s="37"/>
      <c r="BIY70" s="37"/>
      <c r="BIZ70" s="37"/>
      <c r="BJA70" s="138"/>
      <c r="BJB70" s="37"/>
      <c r="BJC70" s="37"/>
      <c r="BJD70" s="37"/>
      <c r="BJE70" s="37"/>
      <c r="BJF70" s="37"/>
      <c r="BJG70" s="75"/>
      <c r="BJH70" s="37"/>
      <c r="BJI70" s="37"/>
      <c r="BJJ70" s="37"/>
      <c r="BJK70" s="37"/>
      <c r="BJL70" s="37"/>
      <c r="BJM70" s="38"/>
      <c r="BJN70" s="36"/>
      <c r="BJO70" s="65"/>
      <c r="BJP70" s="65"/>
      <c r="BJQ70" s="65"/>
      <c r="BJR70" s="37"/>
      <c r="BJS70" s="133"/>
      <c r="BJT70" s="37"/>
      <c r="BJU70" s="37"/>
      <c r="BJV70" s="37"/>
      <c r="BJW70" s="37"/>
      <c r="BJX70" s="37"/>
      <c r="BJY70" s="138"/>
      <c r="BJZ70" s="37"/>
      <c r="BKA70" s="37"/>
      <c r="BKB70" s="37"/>
      <c r="BKC70" s="37"/>
      <c r="BKD70" s="37"/>
      <c r="BKE70" s="75"/>
      <c r="BKF70" s="37"/>
      <c r="BKG70" s="37"/>
      <c r="BKH70" s="37"/>
      <c r="BKI70" s="37"/>
      <c r="BKJ70" s="37"/>
      <c r="BKK70" s="138"/>
      <c r="BKL70" s="37"/>
      <c r="BKM70" s="37"/>
      <c r="BKN70" s="37"/>
      <c r="BKO70" s="37"/>
      <c r="BKP70" s="37"/>
      <c r="BKQ70" s="75"/>
      <c r="BKR70" s="65"/>
      <c r="BKS70" s="65"/>
      <c r="BKT70" s="65"/>
      <c r="BKU70" s="65"/>
      <c r="BKV70" s="37"/>
      <c r="BKW70" s="138"/>
      <c r="BKX70" s="37"/>
      <c r="BKY70" s="37"/>
      <c r="BKZ70" s="37"/>
      <c r="BLA70" s="37"/>
      <c r="BLB70" s="37"/>
      <c r="BLC70" s="75"/>
      <c r="BLD70" s="37"/>
      <c r="BLE70" s="37"/>
      <c r="BLF70" s="37"/>
      <c r="BLG70" s="37"/>
      <c r="BLH70" s="37"/>
      <c r="BLI70" s="138"/>
      <c r="BLJ70" s="37"/>
      <c r="BLK70" s="37"/>
      <c r="BLL70" s="37"/>
      <c r="BLM70" s="37"/>
      <c r="BLN70" s="37"/>
      <c r="BLO70" s="75"/>
      <c r="BLP70" s="37"/>
      <c r="BLQ70" s="37"/>
      <c r="BLR70" s="37"/>
      <c r="BLS70" s="37"/>
      <c r="BLT70" s="37"/>
      <c r="BLU70" s="38"/>
      <c r="BLV70" s="90"/>
    </row>
    <row r="71" spans="1:1686" ht="20.100000000000001" customHeight="1" x14ac:dyDescent="0.25">
      <c r="A71" s="100" t="s">
        <v>17</v>
      </c>
      <c r="B71" s="63"/>
      <c r="C71" s="205"/>
      <c r="D71" s="146"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40"/>
      <c r="RS71" s="66"/>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40"/>
      <c r="UA71" s="66"/>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40"/>
      <c r="WI71" s="66"/>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40"/>
      <c r="YQ71" s="66"/>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40"/>
      <c r="AAY71" s="66"/>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40"/>
      <c r="ADG71" s="66"/>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40"/>
      <c r="AFO71" s="66"/>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40"/>
      <c r="AHW71" s="66"/>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40"/>
      <c r="AKE71" s="66"/>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40"/>
      <c r="AMM71" s="66"/>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40"/>
      <c r="AOU71" s="66"/>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40"/>
      <c r="ARC71" s="66"/>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40"/>
      <c r="ATK71" s="66"/>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40"/>
      <c r="AVS71" s="66"/>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40"/>
      <c r="AYA71" s="66"/>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40"/>
      <c r="BAI71" s="66"/>
      <c r="BAJ71" s="66"/>
      <c r="BAK71" s="66"/>
      <c r="BAL71" s="41"/>
      <c r="BAM71" s="134"/>
      <c r="BAN71" s="41"/>
      <c r="BAO71" s="41"/>
      <c r="BAP71" s="41"/>
      <c r="BAQ71" s="41"/>
      <c r="BAR71" s="41"/>
      <c r="BAS71" s="139"/>
      <c r="BAT71" s="41"/>
      <c r="BAU71" s="41"/>
      <c r="BAV71" s="41"/>
      <c r="BAW71" s="41"/>
      <c r="BAX71" s="41"/>
      <c r="BAY71" s="76"/>
      <c r="BAZ71" s="41"/>
      <c r="BBA71" s="41"/>
      <c r="BBB71" s="41"/>
      <c r="BBC71" s="41"/>
      <c r="BBD71" s="41"/>
      <c r="BBE71" s="139"/>
      <c r="BBF71" s="41"/>
      <c r="BBG71" s="41"/>
      <c r="BBH71" s="41"/>
      <c r="BBI71" s="41"/>
      <c r="BBJ71" s="41"/>
      <c r="BBK71" s="76"/>
      <c r="BBL71" s="66"/>
      <c r="BBM71" s="66"/>
      <c r="BBN71" s="66"/>
      <c r="BBO71" s="66"/>
      <c r="BBP71" s="41"/>
      <c r="BBQ71" s="139"/>
      <c r="BBR71" s="41"/>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40"/>
      <c r="BCQ71" s="66"/>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40"/>
      <c r="BEY71" s="66"/>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40"/>
      <c r="BHG71" s="66"/>
      <c r="BHH71" s="66"/>
      <c r="BHI71" s="66"/>
      <c r="BHJ71" s="41"/>
      <c r="BHK71" s="134"/>
      <c r="BHL71" s="41"/>
      <c r="BHM71" s="41"/>
      <c r="BHN71" s="41"/>
      <c r="BHO71" s="41"/>
      <c r="BHP71" s="41"/>
      <c r="BHQ71" s="139"/>
      <c r="BHR71" s="41"/>
      <c r="BHS71" s="41"/>
      <c r="BHT71" s="41"/>
      <c r="BHU71" s="41"/>
      <c r="BHV71" s="41"/>
      <c r="BHW71" s="76"/>
      <c r="BHX71" s="41"/>
      <c r="BHY71" s="41"/>
      <c r="BHZ71" s="41"/>
      <c r="BIA71" s="41"/>
      <c r="BIB71" s="41"/>
      <c r="BIC71" s="139"/>
      <c r="BID71" s="41"/>
      <c r="BIE71" s="41"/>
      <c r="BIF71" s="41"/>
      <c r="BIG71" s="41"/>
      <c r="BIH71" s="41"/>
      <c r="BII71" s="76"/>
      <c r="BIJ71" s="66"/>
      <c r="BIK71" s="66"/>
      <c r="BIL71" s="66"/>
      <c r="BIM71" s="66"/>
      <c r="BIN71" s="41"/>
      <c r="BIO71" s="139"/>
      <c r="BIP71" s="41"/>
      <c r="BIQ71" s="41"/>
      <c r="BIR71" s="41"/>
      <c r="BIS71" s="41"/>
      <c r="BIT71" s="41"/>
      <c r="BIU71" s="76"/>
      <c r="BIV71" s="41"/>
      <c r="BIW71" s="41"/>
      <c r="BIX71" s="41"/>
      <c r="BIY71" s="41"/>
      <c r="BIZ71" s="41"/>
      <c r="BJA71" s="139"/>
      <c r="BJB71" s="41"/>
      <c r="BJC71" s="41"/>
      <c r="BJD71" s="41"/>
      <c r="BJE71" s="41"/>
      <c r="BJF71" s="41"/>
      <c r="BJG71" s="76"/>
      <c r="BJH71" s="41"/>
      <c r="BJI71" s="41"/>
      <c r="BJJ71" s="41"/>
      <c r="BJK71" s="41"/>
      <c r="BJL71" s="41"/>
      <c r="BJM71" s="42"/>
      <c r="BJN71" s="40"/>
      <c r="BJO71" s="66"/>
      <c r="BJP71" s="66"/>
      <c r="BJQ71" s="66"/>
      <c r="BJR71" s="41"/>
      <c r="BJS71" s="134"/>
      <c r="BJT71" s="41"/>
      <c r="BJU71" s="41"/>
      <c r="BJV71" s="41"/>
      <c r="BJW71" s="41"/>
      <c r="BJX71" s="41"/>
      <c r="BJY71" s="139"/>
      <c r="BJZ71" s="41"/>
      <c r="BKA71" s="41"/>
      <c r="BKB71" s="41"/>
      <c r="BKC71" s="41"/>
      <c r="BKD71" s="41"/>
      <c r="BKE71" s="76"/>
      <c r="BKF71" s="41"/>
      <c r="BKG71" s="41"/>
      <c r="BKH71" s="41"/>
      <c r="BKI71" s="41"/>
      <c r="BKJ71" s="41"/>
      <c r="BKK71" s="139"/>
      <c r="BKL71" s="41"/>
      <c r="BKM71" s="41"/>
      <c r="BKN71" s="41"/>
      <c r="BKO71" s="41"/>
      <c r="BKP71" s="41"/>
      <c r="BKQ71" s="76"/>
      <c r="BKR71" s="66"/>
      <c r="BKS71" s="66"/>
      <c r="BKT71" s="66"/>
      <c r="BKU71" s="66"/>
      <c r="BKV71" s="41"/>
      <c r="BKW71" s="139"/>
      <c r="BKX71" s="41"/>
      <c r="BKY71" s="41"/>
      <c r="BKZ71" s="41"/>
      <c r="BLA71" s="41"/>
      <c r="BLB71" s="41"/>
      <c r="BLC71" s="76"/>
      <c r="BLD71" s="41"/>
      <c r="BLE71" s="41"/>
      <c r="BLF71" s="41"/>
      <c r="BLG71" s="41"/>
      <c r="BLH71" s="41"/>
      <c r="BLI71" s="139"/>
      <c r="BLJ71" s="41"/>
      <c r="BLK71" s="41"/>
      <c r="BLL71" s="41"/>
      <c r="BLM71" s="41"/>
      <c r="BLN71" s="41"/>
      <c r="BLO71" s="76"/>
      <c r="BLP71" s="41"/>
      <c r="BLQ71" s="41"/>
      <c r="BLR71" s="41"/>
      <c r="BLS71" s="41"/>
      <c r="BLT71" s="41"/>
      <c r="BLU71" s="42"/>
      <c r="BLV71" s="90"/>
    </row>
    <row r="72" spans="1:1686" ht="20.100000000000001" customHeight="1" x14ac:dyDescent="0.25">
      <c r="A72" s="100" t="s">
        <v>18</v>
      </c>
      <c r="B72" s="63"/>
      <c r="C72" s="207"/>
      <c r="D72" s="147"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28"/>
      <c r="RS72" s="67"/>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28"/>
      <c r="UA72" s="67"/>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28"/>
      <c r="WI72" s="67"/>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28"/>
      <c r="YQ72" s="67"/>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28"/>
      <c r="AAY72" s="67"/>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28"/>
      <c r="ADG72" s="67"/>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28"/>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28"/>
      <c r="AHW72" s="67"/>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28"/>
      <c r="AKE72" s="67"/>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28"/>
      <c r="AMM72" s="67"/>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28"/>
      <c r="AOU72" s="67"/>
      <c r="AOV72" s="67"/>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28"/>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28"/>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28"/>
      <c r="BHG72" s="67"/>
      <c r="BHH72" s="67"/>
      <c r="BHI72" s="67"/>
      <c r="BHJ72" s="29"/>
      <c r="BHK72" s="131"/>
      <c r="BHL72" s="29"/>
      <c r="BHM72" s="29"/>
      <c r="BHN72" s="29"/>
      <c r="BHO72" s="29"/>
      <c r="BHP72" s="29"/>
      <c r="BHQ72" s="136"/>
      <c r="BHR72" s="29"/>
      <c r="BHS72" s="29"/>
      <c r="BHT72" s="29"/>
      <c r="BHU72" s="29"/>
      <c r="BHV72" s="29"/>
      <c r="BHW72" s="73"/>
      <c r="BHX72" s="29"/>
      <c r="BHY72" s="29"/>
      <c r="BHZ72" s="29"/>
      <c r="BIA72" s="29"/>
      <c r="BIB72" s="29"/>
      <c r="BIC72" s="136"/>
      <c r="BID72" s="29"/>
      <c r="BIE72" s="29"/>
      <c r="BIF72" s="29"/>
      <c r="BIG72" s="29"/>
      <c r="BIH72" s="29"/>
      <c r="BII72" s="73"/>
      <c r="BIJ72" s="67"/>
      <c r="BIK72" s="67"/>
      <c r="BIL72" s="67"/>
      <c r="BIM72" s="67"/>
      <c r="BIN72" s="29"/>
      <c r="BIO72" s="136"/>
      <c r="BIP72" s="29"/>
      <c r="BIQ72" s="29"/>
      <c r="BIR72" s="29"/>
      <c r="BIS72" s="29"/>
      <c r="BIT72" s="29"/>
      <c r="BIU72" s="73"/>
      <c r="BIV72" s="29"/>
      <c r="BIW72" s="29"/>
      <c r="BIX72" s="29"/>
      <c r="BIY72" s="29"/>
      <c r="BIZ72" s="29"/>
      <c r="BJA72" s="136"/>
      <c r="BJB72" s="29"/>
      <c r="BJC72" s="29"/>
      <c r="BJD72" s="29"/>
      <c r="BJE72" s="29"/>
      <c r="BJF72" s="29"/>
      <c r="BJG72" s="73"/>
      <c r="BJH72" s="29"/>
      <c r="BJI72" s="29"/>
      <c r="BJJ72" s="29"/>
      <c r="BJK72" s="29"/>
      <c r="BJL72" s="29"/>
      <c r="BJM72" s="30"/>
      <c r="BJN72" s="28"/>
      <c r="BJO72" s="67"/>
      <c r="BJP72" s="67"/>
      <c r="BJQ72" s="67"/>
      <c r="BJR72" s="29"/>
      <c r="BJS72" s="131"/>
      <c r="BJT72" s="29"/>
      <c r="BJU72" s="29"/>
      <c r="BJV72" s="29"/>
      <c r="BJW72" s="29"/>
      <c r="BJX72" s="29"/>
      <c r="BJY72" s="136"/>
      <c r="BJZ72" s="29"/>
      <c r="BKA72" s="29"/>
      <c r="BKB72" s="29"/>
      <c r="BKC72" s="29"/>
      <c r="BKD72" s="29"/>
      <c r="BKE72" s="73"/>
      <c r="BKF72" s="29"/>
      <c r="BKG72" s="29"/>
      <c r="BKH72" s="29"/>
      <c r="BKI72" s="29"/>
      <c r="BKJ72" s="29"/>
      <c r="BKK72" s="136"/>
      <c r="BKL72" s="29"/>
      <c r="BKM72" s="29"/>
      <c r="BKN72" s="29"/>
      <c r="BKO72" s="29"/>
      <c r="BKP72" s="29"/>
      <c r="BKQ72" s="73"/>
      <c r="BKR72" s="67"/>
      <c r="BKS72" s="67"/>
      <c r="BKT72" s="67"/>
      <c r="BKU72" s="67"/>
      <c r="BKV72" s="29"/>
      <c r="BKW72" s="136"/>
      <c r="BKX72" s="29"/>
      <c r="BKY72" s="29"/>
      <c r="BKZ72" s="29"/>
      <c r="BLA72" s="29"/>
      <c r="BLB72" s="29"/>
      <c r="BLC72" s="73"/>
      <c r="BLD72" s="29"/>
      <c r="BLE72" s="29"/>
      <c r="BLF72" s="29"/>
      <c r="BLG72" s="29"/>
      <c r="BLH72" s="29"/>
      <c r="BLI72" s="136"/>
      <c r="BLJ72" s="29"/>
      <c r="BLK72" s="29"/>
      <c r="BLL72" s="29"/>
      <c r="BLM72" s="29"/>
      <c r="BLN72" s="29"/>
      <c r="BLO72" s="73"/>
      <c r="BLP72" s="29"/>
      <c r="BLQ72" s="29"/>
      <c r="BLR72" s="29"/>
      <c r="BLS72" s="29"/>
      <c r="BLT72" s="29"/>
      <c r="BLU72" s="30"/>
      <c r="BLV72" s="90"/>
    </row>
    <row r="73" spans="1:1686" ht="20.100000000000001" customHeight="1" x14ac:dyDescent="0.25">
      <c r="A73" s="100" t="s">
        <v>17</v>
      </c>
      <c r="B73" s="63"/>
      <c r="C73" s="205"/>
      <c r="D73" s="146"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64"/>
      <c r="UC73" s="64"/>
      <c r="UD73" s="33"/>
      <c r="UE73" s="132"/>
      <c r="UF73" s="33"/>
      <c r="UG73" s="33"/>
      <c r="UH73" s="33"/>
      <c r="UI73" s="33"/>
      <c r="UJ73" s="33"/>
      <c r="UK73" s="137"/>
      <c r="UL73" s="33"/>
      <c r="UM73" s="3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64"/>
      <c r="WK73" s="64"/>
      <c r="WL73" s="33"/>
      <c r="WM73" s="132"/>
      <c r="WN73" s="33"/>
      <c r="WO73" s="33"/>
      <c r="WP73" s="33"/>
      <c r="WQ73" s="33"/>
      <c r="WR73" s="33"/>
      <c r="WS73" s="137"/>
      <c r="WT73" s="33"/>
      <c r="WU73" s="33"/>
      <c r="WV73" s="33"/>
      <c r="WW73" s="33"/>
      <c r="WX73" s="33"/>
      <c r="WY73" s="74"/>
      <c r="WZ73" s="33"/>
      <c r="XA73" s="33"/>
      <c r="XB73" s="33"/>
      <c r="XC73" s="33"/>
      <c r="XD73" s="33"/>
      <c r="XE73" s="137"/>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64"/>
      <c r="ABA73" s="64"/>
      <c r="ABB73" s="33"/>
      <c r="ABC73" s="132"/>
      <c r="ABD73" s="33"/>
      <c r="ABE73" s="33"/>
      <c r="ABF73" s="33"/>
      <c r="ABG73" s="33"/>
      <c r="ABH73" s="33"/>
      <c r="ABI73" s="137"/>
      <c r="ABJ73" s="33"/>
      <c r="ABK73" s="33"/>
      <c r="ABL73" s="33"/>
      <c r="ABM73" s="33"/>
      <c r="ABN73" s="33"/>
      <c r="ABO73" s="74"/>
      <c r="ABP73" s="33"/>
      <c r="ABQ73" s="33"/>
      <c r="ABR73" s="33"/>
      <c r="ABS73" s="33"/>
      <c r="ABT73" s="33"/>
      <c r="ABU73" s="137"/>
      <c r="ABV73" s="33"/>
      <c r="ABW73" s="33"/>
      <c r="ABX73" s="33"/>
      <c r="ABY73" s="33"/>
      <c r="ABZ73" s="33"/>
      <c r="ACA73" s="74"/>
      <c r="ACB73" s="64"/>
      <c r="ACC73" s="64"/>
      <c r="ACD73" s="64"/>
      <c r="ACE73" s="64"/>
      <c r="ACF73" s="33"/>
      <c r="ACG73" s="137"/>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64"/>
      <c r="AHY73" s="64"/>
      <c r="AHZ73" s="33"/>
      <c r="AIA73" s="132"/>
      <c r="AIB73" s="33"/>
      <c r="AIC73" s="33"/>
      <c r="AID73" s="33"/>
      <c r="AIE73" s="33"/>
      <c r="AIF73" s="33"/>
      <c r="AIG73" s="137"/>
      <c r="AIH73" s="33"/>
      <c r="AII73" s="33"/>
      <c r="AIJ73" s="33"/>
      <c r="AIK73" s="33"/>
      <c r="AIL73" s="33"/>
      <c r="AIM73" s="74"/>
      <c r="AIN73" s="33"/>
      <c r="AIO73" s="33"/>
      <c r="AIP73" s="33"/>
      <c r="AIQ73" s="33"/>
      <c r="AIR73" s="33"/>
      <c r="AIS73" s="137"/>
      <c r="AIT73" s="33"/>
      <c r="AIU73" s="33"/>
      <c r="AIV73" s="33"/>
      <c r="AIW73" s="33"/>
      <c r="AIX73" s="3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64"/>
      <c r="AMO73" s="64"/>
      <c r="AMP73" s="33"/>
      <c r="AMQ73" s="132"/>
      <c r="AMR73" s="33"/>
      <c r="AMS73" s="33"/>
      <c r="AMT73" s="33"/>
      <c r="AMU73" s="33"/>
      <c r="AMV73" s="33"/>
      <c r="AMW73" s="137"/>
      <c r="AMX73" s="33"/>
      <c r="AMY73" s="33"/>
      <c r="AMZ73" s="33"/>
      <c r="ANA73" s="33"/>
      <c r="ANB73" s="33"/>
      <c r="ANC73" s="74"/>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64"/>
      <c r="AOW73" s="64"/>
      <c r="AOX73" s="33"/>
      <c r="AOY73" s="132"/>
      <c r="AOZ73" s="33"/>
      <c r="APA73" s="33"/>
      <c r="APB73" s="33"/>
      <c r="APC73" s="33"/>
      <c r="APD73" s="33"/>
      <c r="APE73" s="137"/>
      <c r="APF73" s="33"/>
      <c r="APG73" s="33"/>
      <c r="APH73" s="33"/>
      <c r="API73" s="33"/>
      <c r="APJ73" s="33"/>
      <c r="APK73" s="74"/>
      <c r="APL73" s="33"/>
      <c r="APM73" s="33"/>
      <c r="APN73" s="33"/>
      <c r="APO73" s="3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33"/>
      <c r="AUA73" s="74"/>
      <c r="AUB73" s="33"/>
      <c r="AUC73" s="33"/>
      <c r="AUD73" s="33"/>
      <c r="AUE73" s="33"/>
      <c r="AUF73" s="33"/>
      <c r="AUG73" s="137"/>
      <c r="AUH73" s="33"/>
      <c r="AUI73" s="33"/>
      <c r="AUJ73" s="33"/>
      <c r="AUK73" s="33"/>
      <c r="AUL73" s="33"/>
      <c r="AUM73" s="74"/>
      <c r="AUN73" s="64"/>
      <c r="AUO73" s="64"/>
      <c r="AUP73" s="64"/>
      <c r="AUQ73" s="64"/>
      <c r="AUR73" s="33"/>
      <c r="AUS73" s="137"/>
      <c r="AUT73" s="33"/>
      <c r="AUU73" s="33"/>
      <c r="AUV73" s="33"/>
      <c r="AUW73" s="33"/>
      <c r="AUX73" s="33"/>
      <c r="AUY73" s="74"/>
      <c r="AUZ73" s="33"/>
      <c r="AVA73" s="33"/>
      <c r="AVB73" s="33"/>
      <c r="AVC73" s="33"/>
      <c r="AVD73" s="33"/>
      <c r="AVE73" s="137"/>
      <c r="AVF73" s="33"/>
      <c r="AVG73" s="33"/>
      <c r="AVH73" s="33"/>
      <c r="AVI73" s="33"/>
      <c r="AVJ73" s="33"/>
      <c r="AVK73" s="74"/>
      <c r="AVL73" s="33"/>
      <c r="AVM73" s="33"/>
      <c r="AVN73" s="33"/>
      <c r="AVO73" s="33"/>
      <c r="AVP73" s="33"/>
      <c r="AVQ73" s="34"/>
      <c r="AVR73" s="32"/>
      <c r="AVS73" s="64"/>
      <c r="AVT73" s="64"/>
      <c r="AVU73" s="64"/>
      <c r="AVV73" s="33"/>
      <c r="AVW73" s="132"/>
      <c r="AVX73" s="33"/>
      <c r="AVY73" s="33"/>
      <c r="AVZ73" s="33"/>
      <c r="AWA73" s="33"/>
      <c r="AWB73" s="33"/>
      <c r="AWC73" s="137"/>
      <c r="AWD73" s="33"/>
      <c r="AWE73" s="33"/>
      <c r="AWF73" s="33"/>
      <c r="AWG73" s="33"/>
      <c r="AWH73" s="33"/>
      <c r="AWI73" s="74"/>
      <c r="AWJ73" s="33"/>
      <c r="AWK73" s="33"/>
      <c r="AWL73" s="33"/>
      <c r="AWM73" s="33"/>
      <c r="AWN73" s="33"/>
      <c r="AWO73" s="137"/>
      <c r="AWP73" s="33"/>
      <c r="AWQ73" s="33"/>
      <c r="AWR73" s="33"/>
      <c r="AWS73" s="33"/>
      <c r="AWT73" s="33"/>
      <c r="AWU73" s="74"/>
      <c r="AWV73" s="64"/>
      <c r="AWW73" s="64"/>
      <c r="AWX73" s="64"/>
      <c r="AWY73" s="64"/>
      <c r="AWZ73" s="33"/>
      <c r="AXA73" s="137"/>
      <c r="AXB73" s="33"/>
      <c r="AXC73" s="3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64"/>
      <c r="AYC73" s="64"/>
      <c r="AYD73" s="33"/>
      <c r="AYE73" s="132"/>
      <c r="AYF73" s="33"/>
      <c r="AYG73" s="33"/>
      <c r="AYH73" s="33"/>
      <c r="AYI73" s="33"/>
      <c r="AYJ73" s="33"/>
      <c r="AYK73" s="137"/>
      <c r="AYL73" s="33"/>
      <c r="AYM73" s="33"/>
      <c r="AYN73" s="33"/>
      <c r="AYO73" s="33"/>
      <c r="AYP73" s="33"/>
      <c r="AYQ73" s="74"/>
      <c r="AYR73" s="33"/>
      <c r="AYS73" s="33"/>
      <c r="AYT73" s="33"/>
      <c r="AYU73" s="33"/>
      <c r="AYV73" s="33"/>
      <c r="AYW73" s="137"/>
      <c r="AYX73" s="33"/>
      <c r="AYY73" s="33"/>
      <c r="AYZ73" s="33"/>
      <c r="AZA73" s="33"/>
      <c r="AZB73" s="33"/>
      <c r="AZC73" s="74"/>
      <c r="AZD73" s="64"/>
      <c r="AZE73" s="64"/>
      <c r="AZF73" s="64"/>
      <c r="AZG73" s="64"/>
      <c r="AZH73" s="33"/>
      <c r="AZI73" s="137"/>
      <c r="AZJ73" s="33"/>
      <c r="AZK73" s="3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64"/>
      <c r="BAK73" s="64"/>
      <c r="BAL73" s="33"/>
      <c r="BAM73" s="132"/>
      <c r="BAN73" s="33"/>
      <c r="BAO73" s="33"/>
      <c r="BAP73" s="33"/>
      <c r="BAQ73" s="33"/>
      <c r="BAR73" s="33"/>
      <c r="BAS73" s="137"/>
      <c r="BAT73" s="33"/>
      <c r="BAU73" s="33"/>
      <c r="BAV73" s="33"/>
      <c r="BAW73" s="33"/>
      <c r="BAX73" s="33"/>
      <c r="BAY73" s="74"/>
      <c r="BAZ73" s="33"/>
      <c r="BBA73" s="33"/>
      <c r="BBB73" s="33"/>
      <c r="BBC73" s="33"/>
      <c r="BBD73" s="33"/>
      <c r="BBE73" s="137"/>
      <c r="BBF73" s="33"/>
      <c r="BBG73" s="33"/>
      <c r="BBH73" s="33"/>
      <c r="BBI73" s="33"/>
      <c r="BBJ73" s="33"/>
      <c r="BBK73" s="74"/>
      <c r="BBL73" s="64"/>
      <c r="BBM73" s="64"/>
      <c r="BBN73" s="64"/>
      <c r="BBO73" s="64"/>
      <c r="BBP73" s="33"/>
      <c r="BBQ73" s="137"/>
      <c r="BBR73" s="33"/>
      <c r="BBS73" s="3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32"/>
      <c r="BEY73" s="64"/>
      <c r="BEZ73" s="64"/>
      <c r="BFA73" s="64"/>
      <c r="BFB73" s="33"/>
      <c r="BFC73" s="132"/>
      <c r="BFD73" s="33"/>
      <c r="BFE73" s="33"/>
      <c r="BFF73" s="33"/>
      <c r="BFG73" s="33"/>
      <c r="BFH73" s="33"/>
      <c r="BFI73" s="137"/>
      <c r="BFJ73" s="33"/>
      <c r="BFK73" s="33"/>
      <c r="BFL73" s="33"/>
      <c r="BFM73" s="33"/>
      <c r="BFN73" s="33"/>
      <c r="BFO73" s="74"/>
      <c r="BFP73" s="33"/>
      <c r="BFQ73" s="33"/>
      <c r="BFR73" s="33"/>
      <c r="BFS73" s="33"/>
      <c r="BFT73" s="33"/>
      <c r="BFU73" s="137"/>
      <c r="BFV73" s="33"/>
      <c r="BFW73" s="33"/>
      <c r="BFX73" s="33"/>
      <c r="BFY73" s="33"/>
      <c r="BFZ73" s="33"/>
      <c r="BGA73" s="74"/>
      <c r="BGB73" s="64"/>
      <c r="BGC73" s="64"/>
      <c r="BGD73" s="64"/>
      <c r="BGE73" s="64"/>
      <c r="BGF73" s="33"/>
      <c r="BGG73" s="137"/>
      <c r="BGH73" s="33"/>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32"/>
      <c r="BHG73" s="64"/>
      <c r="BHH73" s="64"/>
      <c r="BHI73" s="64"/>
      <c r="BHJ73" s="33"/>
      <c r="BHK73" s="132"/>
      <c r="BHL73" s="33"/>
      <c r="BHM73" s="33"/>
      <c r="BHN73" s="33"/>
      <c r="BHO73" s="33"/>
      <c r="BHP73" s="33"/>
      <c r="BHQ73" s="137"/>
      <c r="BHR73" s="33"/>
      <c r="BHS73" s="33"/>
      <c r="BHT73" s="33"/>
      <c r="BHU73" s="33"/>
      <c r="BHV73" s="33"/>
      <c r="BHW73" s="74"/>
      <c r="BHX73" s="33"/>
      <c r="BHY73" s="33"/>
      <c r="BHZ73" s="33"/>
      <c r="BIA73" s="33"/>
      <c r="BIB73" s="33"/>
      <c r="BIC73" s="137"/>
      <c r="BID73" s="33"/>
      <c r="BIE73" s="33"/>
      <c r="BIF73" s="33"/>
      <c r="BIG73" s="33"/>
      <c r="BIH73" s="33"/>
      <c r="BII73" s="74"/>
      <c r="BIJ73" s="64"/>
      <c r="BIK73" s="64"/>
      <c r="BIL73" s="64"/>
      <c r="BIM73" s="64"/>
      <c r="BIN73" s="33"/>
      <c r="BIO73" s="137"/>
      <c r="BIP73" s="33"/>
      <c r="BIQ73" s="33"/>
      <c r="BIR73" s="33"/>
      <c r="BIS73" s="33"/>
      <c r="BIT73" s="33"/>
      <c r="BIU73" s="74"/>
      <c r="BIV73" s="33"/>
      <c r="BIW73" s="33"/>
      <c r="BIX73" s="33"/>
      <c r="BIY73" s="33"/>
      <c r="BIZ73" s="33"/>
      <c r="BJA73" s="137"/>
      <c r="BJB73" s="33"/>
      <c r="BJC73" s="33"/>
      <c r="BJD73" s="33"/>
      <c r="BJE73" s="33"/>
      <c r="BJF73" s="33"/>
      <c r="BJG73" s="74"/>
      <c r="BJH73" s="33"/>
      <c r="BJI73" s="33"/>
      <c r="BJJ73" s="33"/>
      <c r="BJK73" s="33"/>
      <c r="BJL73" s="33"/>
      <c r="BJM73" s="34"/>
      <c r="BJN73" s="32"/>
      <c r="BJO73" s="64"/>
      <c r="BJP73" s="64"/>
      <c r="BJQ73" s="64"/>
      <c r="BJR73" s="33"/>
      <c r="BJS73" s="132"/>
      <c r="BJT73" s="33"/>
      <c r="BJU73" s="33"/>
      <c r="BJV73" s="33"/>
      <c r="BJW73" s="33"/>
      <c r="BJX73" s="33"/>
      <c r="BJY73" s="137"/>
      <c r="BJZ73" s="33"/>
      <c r="BKA73" s="33"/>
      <c r="BKB73" s="33"/>
      <c r="BKC73" s="33"/>
      <c r="BKD73" s="33"/>
      <c r="BKE73" s="74"/>
      <c r="BKF73" s="33"/>
      <c r="BKG73" s="33"/>
      <c r="BKH73" s="33"/>
      <c r="BKI73" s="33"/>
      <c r="BKJ73" s="33"/>
      <c r="BKK73" s="137"/>
      <c r="BKL73" s="33"/>
      <c r="BKM73" s="33"/>
      <c r="BKN73" s="33"/>
      <c r="BKO73" s="33"/>
      <c r="BKP73" s="33"/>
      <c r="BKQ73" s="74"/>
      <c r="BKR73" s="64"/>
      <c r="BKS73" s="64"/>
      <c r="BKT73" s="64"/>
      <c r="BKU73" s="64"/>
      <c r="BKV73" s="33"/>
      <c r="BKW73" s="137"/>
      <c r="BKX73" s="33"/>
      <c r="BKY73" s="33"/>
      <c r="BKZ73" s="33"/>
      <c r="BLA73" s="33"/>
      <c r="BLB73" s="33"/>
      <c r="BLC73" s="74"/>
      <c r="BLD73" s="33"/>
      <c r="BLE73" s="33"/>
      <c r="BLF73" s="33"/>
      <c r="BLG73" s="33"/>
      <c r="BLH73" s="33"/>
      <c r="BLI73" s="137"/>
      <c r="BLJ73" s="33"/>
      <c r="BLK73" s="33"/>
      <c r="BLL73" s="33"/>
      <c r="BLM73" s="33"/>
      <c r="BLN73" s="33"/>
      <c r="BLO73" s="74"/>
      <c r="BLP73" s="33"/>
      <c r="BLQ73" s="33"/>
      <c r="BLR73" s="33"/>
      <c r="BLS73" s="33"/>
      <c r="BLT73" s="33"/>
      <c r="BLU73" s="34"/>
      <c r="BLV73" s="90"/>
    </row>
    <row r="74" spans="1:1686" ht="20.100000000000001" customHeight="1" x14ac:dyDescent="0.3">
      <c r="A74" s="100" t="s">
        <v>18</v>
      </c>
      <c r="B74" s="63"/>
      <c r="C74" s="206"/>
      <c r="D74" s="148"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65"/>
      <c r="RU74" s="65"/>
      <c r="RV74" s="37"/>
      <c r="RW74" s="133"/>
      <c r="RX74" s="37"/>
      <c r="RY74" s="37"/>
      <c r="RZ74" s="37"/>
      <c r="SA74" s="37"/>
      <c r="SB74" s="37"/>
      <c r="SC74" s="138"/>
      <c r="SD74" s="37"/>
      <c r="SE74" s="37"/>
      <c r="SF74" s="37"/>
      <c r="SG74" s="37"/>
      <c r="SH74" s="37"/>
      <c r="SI74" s="75"/>
      <c r="SJ74" s="37"/>
      <c r="SK74" s="37"/>
      <c r="SL74" s="37"/>
      <c r="SM74" s="37"/>
      <c r="SN74" s="37"/>
      <c r="SO74" s="138"/>
      <c r="SP74" s="37"/>
      <c r="SQ74" s="37"/>
      <c r="SR74" s="37"/>
      <c r="SS74" s="37"/>
      <c r="ST74" s="37"/>
      <c r="SU74" s="75"/>
      <c r="SV74" s="65"/>
      <c r="SW74" s="65"/>
      <c r="SX74" s="65"/>
      <c r="SY74" s="65"/>
      <c r="SZ74" s="37"/>
      <c r="TA74" s="138"/>
      <c r="TB74" s="37"/>
      <c r="TC74" s="37"/>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65"/>
      <c r="UC74" s="65"/>
      <c r="UD74" s="37"/>
      <c r="UE74" s="133"/>
      <c r="UF74" s="37"/>
      <c r="UG74" s="37"/>
      <c r="UH74" s="37"/>
      <c r="UI74" s="37"/>
      <c r="UJ74" s="37"/>
      <c r="UK74" s="138"/>
      <c r="UL74" s="37"/>
      <c r="UM74" s="37"/>
      <c r="UN74" s="37"/>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65"/>
      <c r="ADI74" s="65"/>
      <c r="ADJ74" s="37"/>
      <c r="ADK74" s="133"/>
      <c r="ADL74" s="37"/>
      <c r="ADM74" s="37"/>
      <c r="ADN74" s="37"/>
      <c r="ADO74" s="37"/>
      <c r="ADP74" s="37"/>
      <c r="ADQ74" s="138"/>
      <c r="ADR74" s="37"/>
      <c r="ADS74" s="37"/>
      <c r="ADT74" s="37"/>
      <c r="ADU74" s="37"/>
      <c r="ADV74" s="37"/>
      <c r="ADW74" s="75"/>
      <c r="ADX74" s="37"/>
      <c r="ADY74" s="37"/>
      <c r="ADZ74" s="37"/>
      <c r="AEA74" s="37"/>
      <c r="AEB74" s="37"/>
      <c r="AEC74" s="138"/>
      <c r="AED74" s="37"/>
      <c r="AEE74" s="37"/>
      <c r="AEF74" s="37"/>
      <c r="AEG74" s="37"/>
      <c r="AEH74" s="37"/>
      <c r="AEI74" s="75"/>
      <c r="AEJ74" s="65"/>
      <c r="AEK74" s="65"/>
      <c r="AEL74" s="65"/>
      <c r="AEM74" s="65"/>
      <c r="AEN74" s="37"/>
      <c r="AEO74" s="138"/>
      <c r="AEP74" s="37"/>
      <c r="AEQ74" s="37"/>
      <c r="AER74" s="37"/>
      <c r="AES74" s="37"/>
      <c r="AET74" s="37"/>
      <c r="AEU74" s="75"/>
      <c r="AEV74" s="37"/>
      <c r="AEW74" s="37"/>
      <c r="AEX74" s="37"/>
      <c r="AEY74" s="37"/>
      <c r="AEZ74" s="37"/>
      <c r="AFA74" s="138"/>
      <c r="AFB74" s="37"/>
      <c r="AFC74" s="37"/>
      <c r="AFD74" s="37"/>
      <c r="AFE74" s="37"/>
      <c r="AFF74" s="37"/>
      <c r="AFG74" s="75"/>
      <c r="AFH74" s="37"/>
      <c r="AFI74" s="37"/>
      <c r="AFJ74" s="37"/>
      <c r="AFK74" s="37"/>
      <c r="AFL74" s="37"/>
      <c r="AFM74" s="38"/>
      <c r="AFN74" s="36"/>
      <c r="AFO74" s="65"/>
      <c r="AFP74" s="65"/>
      <c r="AFQ74" s="65"/>
      <c r="AFR74" s="37"/>
      <c r="AFS74" s="133"/>
      <c r="AFT74" s="37"/>
      <c r="AFU74" s="37"/>
      <c r="AFV74" s="37"/>
      <c r="AFW74" s="37"/>
      <c r="AFX74" s="37"/>
      <c r="AFY74" s="138"/>
      <c r="AFZ74" s="37"/>
      <c r="AGA74" s="37"/>
      <c r="AGB74" s="37"/>
      <c r="AGC74" s="37"/>
      <c r="AGD74" s="37"/>
      <c r="AGE74" s="75"/>
      <c r="AGF74" s="37"/>
      <c r="AGG74" s="37"/>
      <c r="AGH74" s="37"/>
      <c r="AGI74" s="37"/>
      <c r="AGJ74" s="37"/>
      <c r="AGK74" s="138"/>
      <c r="AGL74" s="37"/>
      <c r="AGM74" s="37"/>
      <c r="AGN74" s="37"/>
      <c r="AGO74" s="37"/>
      <c r="AGP74" s="37"/>
      <c r="AGQ74" s="75"/>
      <c r="AGR74" s="65"/>
      <c r="AGS74" s="65"/>
      <c r="AGT74" s="65"/>
      <c r="AGU74" s="65"/>
      <c r="AGV74" s="37"/>
      <c r="AGW74" s="138"/>
      <c r="AGX74" s="37"/>
      <c r="AGY74" s="37"/>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65"/>
      <c r="AHY74" s="65"/>
      <c r="AHZ74" s="37"/>
      <c r="AIA74" s="133"/>
      <c r="AIB74" s="37"/>
      <c r="AIC74" s="37"/>
      <c r="AID74" s="37"/>
      <c r="AIE74" s="37"/>
      <c r="AIF74" s="37"/>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65"/>
      <c r="ARD74" s="65"/>
      <c r="ARE74" s="65"/>
      <c r="ARF74" s="37"/>
      <c r="ARG74" s="133"/>
      <c r="ARH74" s="37"/>
      <c r="ARI74" s="37"/>
      <c r="ARJ74" s="37"/>
      <c r="ARK74" s="37"/>
      <c r="ARL74" s="37"/>
      <c r="ARM74" s="138"/>
      <c r="ARN74" s="37"/>
      <c r="ARO74" s="37"/>
      <c r="ARP74" s="37"/>
      <c r="ARQ74" s="37"/>
      <c r="ARR74" s="37"/>
      <c r="ARS74" s="75"/>
      <c r="ART74" s="37"/>
      <c r="ARU74" s="37"/>
      <c r="ARV74" s="37"/>
      <c r="ARW74" s="37"/>
      <c r="ARX74" s="37"/>
      <c r="ARY74" s="138"/>
      <c r="ARZ74" s="37"/>
      <c r="ASA74" s="37"/>
      <c r="ASB74" s="37"/>
      <c r="ASC74" s="37"/>
      <c r="ASD74" s="37"/>
      <c r="ASE74" s="75"/>
      <c r="ASF74" s="65"/>
      <c r="ASG74" s="65"/>
      <c r="ASH74" s="65"/>
      <c r="ASI74" s="65"/>
      <c r="ASJ74" s="37"/>
      <c r="ASK74" s="138"/>
      <c r="ASL74" s="37"/>
      <c r="ASM74" s="37"/>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65"/>
      <c r="ATL74" s="65"/>
      <c r="ATM74" s="65"/>
      <c r="ATN74" s="37"/>
      <c r="ATO74" s="133"/>
      <c r="ATP74" s="37"/>
      <c r="ATQ74" s="37"/>
      <c r="ATR74" s="37"/>
      <c r="ATS74" s="37"/>
      <c r="ATT74" s="37"/>
      <c r="ATU74" s="138"/>
      <c r="ATV74" s="37"/>
      <c r="ATW74" s="37"/>
      <c r="ATX74" s="37"/>
      <c r="ATY74" s="37"/>
      <c r="ATZ74" s="37"/>
      <c r="AUA74" s="75"/>
      <c r="AUB74" s="37"/>
      <c r="AUC74" s="37"/>
      <c r="AUD74" s="37"/>
      <c r="AUE74" s="37"/>
      <c r="AUF74" s="37"/>
      <c r="AUG74" s="138"/>
      <c r="AUH74" s="37"/>
      <c r="AUI74" s="37"/>
      <c r="AUJ74" s="37"/>
      <c r="AUK74" s="37"/>
      <c r="AUL74" s="37"/>
      <c r="AUM74" s="75"/>
      <c r="AUN74" s="65"/>
      <c r="AUO74" s="65"/>
      <c r="AUP74" s="65"/>
      <c r="AUQ74" s="65"/>
      <c r="AUR74" s="37"/>
      <c r="AUS74" s="138"/>
      <c r="AUT74" s="37"/>
      <c r="AUU74" s="37"/>
      <c r="AUV74" s="37"/>
      <c r="AUW74" s="37"/>
      <c r="AUX74" s="37"/>
      <c r="AUY74" s="75"/>
      <c r="AUZ74" s="37"/>
      <c r="AVA74" s="37"/>
      <c r="AVB74" s="37"/>
      <c r="AVC74" s="37"/>
      <c r="AVD74" s="37"/>
      <c r="AVE74" s="138"/>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36"/>
      <c r="BHG74" s="65"/>
      <c r="BHH74" s="65"/>
      <c r="BHI74" s="65"/>
      <c r="BHJ74" s="37"/>
      <c r="BHK74" s="133"/>
      <c r="BHL74" s="37"/>
      <c r="BHM74" s="37"/>
      <c r="BHN74" s="37"/>
      <c r="BHO74" s="37"/>
      <c r="BHP74" s="37"/>
      <c r="BHQ74" s="138"/>
      <c r="BHR74" s="37"/>
      <c r="BHS74" s="37"/>
      <c r="BHT74" s="37"/>
      <c r="BHU74" s="37"/>
      <c r="BHV74" s="37"/>
      <c r="BHW74" s="75"/>
      <c r="BHX74" s="37"/>
      <c r="BHY74" s="37"/>
      <c r="BHZ74" s="37"/>
      <c r="BIA74" s="37"/>
      <c r="BIB74" s="37"/>
      <c r="BIC74" s="138"/>
      <c r="BID74" s="37"/>
      <c r="BIE74" s="37"/>
      <c r="BIF74" s="37"/>
      <c r="BIG74" s="37"/>
      <c r="BIH74" s="37"/>
      <c r="BII74" s="75"/>
      <c r="BIJ74" s="65"/>
      <c r="BIK74" s="65"/>
      <c r="BIL74" s="65"/>
      <c r="BIM74" s="65"/>
      <c r="BIN74" s="37"/>
      <c r="BIO74" s="138"/>
      <c r="BIP74" s="37"/>
      <c r="BIQ74" s="37"/>
      <c r="BIR74" s="37"/>
      <c r="BIS74" s="37"/>
      <c r="BIT74" s="37"/>
      <c r="BIU74" s="75"/>
      <c r="BIV74" s="37"/>
      <c r="BIW74" s="37"/>
      <c r="BIX74" s="37"/>
      <c r="BIY74" s="37"/>
      <c r="BIZ74" s="37"/>
      <c r="BJA74" s="138"/>
      <c r="BJB74" s="37"/>
      <c r="BJC74" s="37"/>
      <c r="BJD74" s="37"/>
      <c r="BJE74" s="37"/>
      <c r="BJF74" s="37"/>
      <c r="BJG74" s="75"/>
      <c r="BJH74" s="37"/>
      <c r="BJI74" s="37"/>
      <c r="BJJ74" s="37"/>
      <c r="BJK74" s="37"/>
      <c r="BJL74" s="37"/>
      <c r="BJM74" s="38"/>
      <c r="BJN74" s="36"/>
      <c r="BJO74" s="65"/>
      <c r="BJP74" s="65"/>
      <c r="BJQ74" s="65"/>
      <c r="BJR74" s="37"/>
      <c r="BJS74" s="133"/>
      <c r="BJT74" s="37"/>
      <c r="BJU74" s="37"/>
      <c r="BJV74" s="37"/>
      <c r="BJW74" s="37"/>
      <c r="BJX74" s="37"/>
      <c r="BJY74" s="138"/>
      <c r="BJZ74" s="37"/>
      <c r="BKA74" s="37"/>
      <c r="BKB74" s="37"/>
      <c r="BKC74" s="37"/>
      <c r="BKD74" s="37"/>
      <c r="BKE74" s="75"/>
      <c r="BKF74" s="37"/>
      <c r="BKG74" s="37"/>
      <c r="BKH74" s="37"/>
      <c r="BKI74" s="37"/>
      <c r="BKJ74" s="37"/>
      <c r="BKK74" s="138"/>
      <c r="BKL74" s="37"/>
      <c r="BKM74" s="37"/>
      <c r="BKN74" s="37"/>
      <c r="BKO74" s="37"/>
      <c r="BKP74" s="37"/>
      <c r="BKQ74" s="75"/>
      <c r="BKR74" s="65"/>
      <c r="BKS74" s="65"/>
      <c r="BKT74" s="65"/>
      <c r="BKU74" s="65"/>
      <c r="BKV74" s="37"/>
      <c r="BKW74" s="138"/>
      <c r="BKX74" s="37"/>
      <c r="BKY74" s="37"/>
      <c r="BKZ74" s="37"/>
      <c r="BLA74" s="37"/>
      <c r="BLB74" s="37"/>
      <c r="BLC74" s="75"/>
      <c r="BLD74" s="37"/>
      <c r="BLE74" s="37"/>
      <c r="BLF74" s="37"/>
      <c r="BLG74" s="37"/>
      <c r="BLH74" s="37"/>
      <c r="BLI74" s="138"/>
      <c r="BLJ74" s="37"/>
      <c r="BLK74" s="37"/>
      <c r="BLL74" s="37"/>
      <c r="BLM74" s="37"/>
      <c r="BLN74" s="37"/>
      <c r="BLO74" s="75"/>
      <c r="BLP74" s="37"/>
      <c r="BLQ74" s="37"/>
      <c r="BLR74" s="37"/>
      <c r="BLS74" s="37"/>
      <c r="BLT74" s="37"/>
      <c r="BLU74" s="38"/>
      <c r="BLV74" s="90"/>
    </row>
    <row r="75" spans="1:1686" ht="20.100000000000001" customHeight="1" x14ac:dyDescent="0.25">
      <c r="A75" s="100" t="s">
        <v>17</v>
      </c>
      <c r="B75" s="63"/>
      <c r="C75" s="205"/>
      <c r="D75" s="146"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64"/>
      <c r="BCS75" s="64"/>
      <c r="BCT75" s="33"/>
      <c r="BCU75" s="132"/>
      <c r="BCV75" s="33"/>
      <c r="BCW75" s="33"/>
      <c r="BCX75" s="33"/>
      <c r="BCY75" s="33"/>
      <c r="BCZ75" s="33"/>
      <c r="BDA75" s="137"/>
      <c r="BDB75" s="33"/>
      <c r="BDC75" s="33"/>
      <c r="BDD75" s="33"/>
      <c r="BDE75" s="33"/>
      <c r="BDF75" s="33"/>
      <c r="BDG75" s="74"/>
      <c r="BDH75" s="33"/>
      <c r="BDI75" s="33"/>
      <c r="BDJ75" s="33"/>
      <c r="BDK75" s="33"/>
      <c r="BDL75" s="33"/>
      <c r="BDM75" s="137"/>
      <c r="BDN75" s="33"/>
      <c r="BDO75" s="33"/>
      <c r="BDP75" s="33"/>
      <c r="BDQ75" s="33"/>
      <c r="BDR75" s="33"/>
      <c r="BDS75" s="74"/>
      <c r="BDT75" s="64"/>
      <c r="BDU75" s="64"/>
      <c r="BDV75" s="64"/>
      <c r="BDW75" s="64"/>
      <c r="BDX75" s="33"/>
      <c r="BDY75" s="137"/>
      <c r="BDZ75" s="33"/>
      <c r="BEA75" s="33"/>
      <c r="BEB75" s="33"/>
      <c r="BEC75" s="33"/>
      <c r="BED75" s="33"/>
      <c r="BEE75" s="74"/>
      <c r="BEF75" s="33"/>
      <c r="BEG75" s="33"/>
      <c r="BEH75" s="33"/>
      <c r="BEI75" s="33"/>
      <c r="BEJ75" s="33"/>
      <c r="BEK75" s="137"/>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32"/>
      <c r="BHG75" s="64"/>
      <c r="BHH75" s="64"/>
      <c r="BHI75" s="64"/>
      <c r="BHJ75" s="33"/>
      <c r="BHK75" s="132"/>
      <c r="BHL75" s="33"/>
      <c r="BHM75" s="33"/>
      <c r="BHN75" s="33"/>
      <c r="BHO75" s="33"/>
      <c r="BHP75" s="33"/>
      <c r="BHQ75" s="137"/>
      <c r="BHR75" s="33"/>
      <c r="BHS75" s="33"/>
      <c r="BHT75" s="33"/>
      <c r="BHU75" s="33"/>
      <c r="BHV75" s="33"/>
      <c r="BHW75" s="74"/>
      <c r="BHX75" s="33"/>
      <c r="BHY75" s="33"/>
      <c r="BHZ75" s="33"/>
      <c r="BIA75" s="33"/>
      <c r="BIB75" s="33"/>
      <c r="BIC75" s="137"/>
      <c r="BID75" s="33"/>
      <c r="BIE75" s="33"/>
      <c r="BIF75" s="33"/>
      <c r="BIG75" s="33"/>
      <c r="BIH75" s="33"/>
      <c r="BII75" s="74"/>
      <c r="BIJ75" s="64"/>
      <c r="BIK75" s="64"/>
      <c r="BIL75" s="64"/>
      <c r="BIM75" s="64"/>
      <c r="BIN75" s="33"/>
      <c r="BIO75" s="137"/>
      <c r="BIP75" s="33"/>
      <c r="BIQ75" s="33"/>
      <c r="BIR75" s="33"/>
      <c r="BIS75" s="33"/>
      <c r="BIT75" s="33"/>
      <c r="BIU75" s="74"/>
      <c r="BIV75" s="33"/>
      <c r="BIW75" s="33"/>
      <c r="BIX75" s="33"/>
      <c r="BIY75" s="33"/>
      <c r="BIZ75" s="33"/>
      <c r="BJA75" s="137"/>
      <c r="BJB75" s="33"/>
      <c r="BJC75" s="33"/>
      <c r="BJD75" s="33"/>
      <c r="BJE75" s="33"/>
      <c r="BJF75" s="33"/>
      <c r="BJG75" s="74"/>
      <c r="BJH75" s="33"/>
      <c r="BJI75" s="33"/>
      <c r="BJJ75" s="33"/>
      <c r="BJK75" s="33"/>
      <c r="BJL75" s="33"/>
      <c r="BJM75" s="34"/>
      <c r="BJN75" s="32"/>
      <c r="BJO75" s="64"/>
      <c r="BJP75" s="64"/>
      <c r="BJQ75" s="64"/>
      <c r="BJR75" s="33"/>
      <c r="BJS75" s="132"/>
      <c r="BJT75" s="33"/>
      <c r="BJU75" s="33"/>
      <c r="BJV75" s="33"/>
      <c r="BJW75" s="33"/>
      <c r="BJX75" s="33"/>
      <c r="BJY75" s="137"/>
      <c r="BJZ75" s="33"/>
      <c r="BKA75" s="33"/>
      <c r="BKB75" s="33"/>
      <c r="BKC75" s="33"/>
      <c r="BKD75" s="33"/>
      <c r="BKE75" s="74"/>
      <c r="BKF75" s="33"/>
      <c r="BKG75" s="33"/>
      <c r="BKH75" s="33"/>
      <c r="BKI75" s="33"/>
      <c r="BKJ75" s="33"/>
      <c r="BKK75" s="137"/>
      <c r="BKL75" s="33"/>
      <c r="BKM75" s="33"/>
      <c r="BKN75" s="33"/>
      <c r="BKO75" s="33"/>
      <c r="BKP75" s="33"/>
      <c r="BKQ75" s="74"/>
      <c r="BKR75" s="64"/>
      <c r="BKS75" s="64"/>
      <c r="BKT75" s="64"/>
      <c r="BKU75" s="64"/>
      <c r="BKV75" s="33"/>
      <c r="BKW75" s="137"/>
      <c r="BKX75" s="33"/>
      <c r="BKY75" s="33"/>
      <c r="BKZ75" s="33"/>
      <c r="BLA75" s="33"/>
      <c r="BLB75" s="33"/>
      <c r="BLC75" s="74"/>
      <c r="BLD75" s="33"/>
      <c r="BLE75" s="33"/>
      <c r="BLF75" s="33"/>
      <c r="BLG75" s="33"/>
      <c r="BLH75" s="33"/>
      <c r="BLI75" s="137"/>
      <c r="BLJ75" s="33"/>
      <c r="BLK75" s="33"/>
      <c r="BLL75" s="33"/>
      <c r="BLM75" s="33"/>
      <c r="BLN75" s="33"/>
      <c r="BLO75" s="74"/>
      <c r="BLP75" s="33"/>
      <c r="BLQ75" s="33"/>
      <c r="BLR75" s="33"/>
      <c r="BLS75" s="33"/>
      <c r="BLT75" s="33"/>
      <c r="BLU75" s="34"/>
      <c r="BLV75" s="90"/>
    </row>
    <row r="76" spans="1:1686" ht="20.100000000000001" customHeight="1" x14ac:dyDescent="0.3">
      <c r="A76" s="100" t="s">
        <v>18</v>
      </c>
      <c r="B76" s="63"/>
      <c r="C76" s="206"/>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75"/>
      <c r="ANP76" s="65"/>
      <c r="ANQ76" s="65"/>
      <c r="ANR76" s="65"/>
      <c r="ANS76" s="65"/>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36"/>
      <c r="BHG76" s="65"/>
      <c r="BHH76" s="65"/>
      <c r="BHI76" s="65"/>
      <c r="BHJ76" s="37"/>
      <c r="BHK76" s="133"/>
      <c r="BHL76" s="37"/>
      <c r="BHM76" s="37"/>
      <c r="BHN76" s="37"/>
      <c r="BHO76" s="37"/>
      <c r="BHP76" s="37"/>
      <c r="BHQ76" s="138"/>
      <c r="BHR76" s="37"/>
      <c r="BHS76" s="37"/>
      <c r="BHT76" s="37"/>
      <c r="BHU76" s="37"/>
      <c r="BHV76" s="37"/>
      <c r="BHW76" s="75"/>
      <c r="BHX76" s="37"/>
      <c r="BHY76" s="37"/>
      <c r="BHZ76" s="37"/>
      <c r="BIA76" s="37"/>
      <c r="BIB76" s="37"/>
      <c r="BIC76" s="138"/>
      <c r="BID76" s="37"/>
      <c r="BIE76" s="37"/>
      <c r="BIF76" s="37"/>
      <c r="BIG76" s="37"/>
      <c r="BIH76" s="37"/>
      <c r="BII76" s="75"/>
      <c r="BIJ76" s="65"/>
      <c r="BIK76" s="65"/>
      <c r="BIL76" s="65"/>
      <c r="BIM76" s="65"/>
      <c r="BIN76" s="37"/>
      <c r="BIO76" s="138"/>
      <c r="BIP76" s="37"/>
      <c r="BIQ76" s="37"/>
      <c r="BIR76" s="37"/>
      <c r="BIS76" s="37"/>
      <c r="BIT76" s="37"/>
      <c r="BIU76" s="75"/>
      <c r="BIV76" s="37"/>
      <c r="BIW76" s="37"/>
      <c r="BIX76" s="37"/>
      <c r="BIY76" s="37"/>
      <c r="BIZ76" s="37"/>
      <c r="BJA76" s="138"/>
      <c r="BJB76" s="37"/>
      <c r="BJC76" s="37"/>
      <c r="BJD76" s="37"/>
      <c r="BJE76" s="37"/>
      <c r="BJF76" s="37"/>
      <c r="BJG76" s="75"/>
      <c r="BJH76" s="37"/>
      <c r="BJI76" s="37"/>
      <c r="BJJ76" s="37"/>
      <c r="BJK76" s="37"/>
      <c r="BJL76" s="37"/>
      <c r="BJM76" s="38"/>
      <c r="BJN76" s="36"/>
      <c r="BJO76" s="65"/>
      <c r="BJP76" s="65"/>
      <c r="BJQ76" s="65"/>
      <c r="BJR76" s="37"/>
      <c r="BJS76" s="133"/>
      <c r="BJT76" s="37"/>
      <c r="BJU76" s="37"/>
      <c r="BJV76" s="37"/>
      <c r="BJW76" s="37"/>
      <c r="BJX76" s="37"/>
      <c r="BJY76" s="138"/>
      <c r="BJZ76" s="37"/>
      <c r="BKA76" s="37"/>
      <c r="BKB76" s="37"/>
      <c r="BKC76" s="37"/>
      <c r="BKD76" s="37"/>
      <c r="BKE76" s="75"/>
      <c r="BKF76" s="37"/>
      <c r="BKG76" s="37"/>
      <c r="BKH76" s="37"/>
      <c r="BKI76" s="37"/>
      <c r="BKJ76" s="37"/>
      <c r="BKK76" s="138"/>
      <c r="BKL76" s="37"/>
      <c r="BKM76" s="37"/>
      <c r="BKN76" s="37"/>
      <c r="BKO76" s="37"/>
      <c r="BKP76" s="37"/>
      <c r="BKQ76" s="75"/>
      <c r="BKR76" s="65"/>
      <c r="BKS76" s="65"/>
      <c r="BKT76" s="65"/>
      <c r="BKU76" s="65"/>
      <c r="BKV76" s="37"/>
      <c r="BKW76" s="138"/>
      <c r="BKX76" s="37"/>
      <c r="BKY76" s="37"/>
      <c r="BKZ76" s="37"/>
      <c r="BLA76" s="37"/>
      <c r="BLB76" s="37"/>
      <c r="BLC76" s="75"/>
      <c r="BLD76" s="37"/>
      <c r="BLE76" s="37"/>
      <c r="BLF76" s="37"/>
      <c r="BLG76" s="37"/>
      <c r="BLH76" s="37"/>
      <c r="BLI76" s="138"/>
      <c r="BLJ76" s="37"/>
      <c r="BLK76" s="37"/>
      <c r="BLL76" s="37"/>
      <c r="BLM76" s="37"/>
      <c r="BLN76" s="37"/>
      <c r="BLO76" s="75"/>
      <c r="BLP76" s="37"/>
      <c r="BLQ76" s="37"/>
      <c r="BLR76" s="37"/>
      <c r="BLS76" s="37"/>
      <c r="BLT76" s="37"/>
      <c r="BLU76" s="38"/>
      <c r="BLV76" s="90"/>
    </row>
    <row r="77" spans="1:1686" ht="20.100000000000001" customHeight="1" x14ac:dyDescent="0.25">
      <c r="A77" s="100" t="s">
        <v>17</v>
      </c>
      <c r="B77" s="63"/>
      <c r="C77" s="205"/>
      <c r="D77" s="146"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40"/>
      <c r="BCQ77" s="66"/>
      <c r="BCR77" s="66"/>
      <c r="BCS77" s="66"/>
      <c r="BCT77" s="41"/>
      <c r="BCU77" s="134"/>
      <c r="BCV77" s="41"/>
      <c r="BCW77" s="41"/>
      <c r="BCX77" s="41"/>
      <c r="BCY77" s="41"/>
      <c r="BCZ77" s="41"/>
      <c r="BDA77" s="139"/>
      <c r="BDB77" s="41"/>
      <c r="BDC77" s="41"/>
      <c r="BDD77" s="41"/>
      <c r="BDE77" s="41"/>
      <c r="BDF77" s="41"/>
      <c r="BDG77" s="76"/>
      <c r="BDH77" s="41"/>
      <c r="BDI77" s="41"/>
      <c r="BDJ77" s="41"/>
      <c r="BDK77" s="41"/>
      <c r="BDL77" s="41"/>
      <c r="BDM77" s="139"/>
      <c r="BDN77" s="41"/>
      <c r="BDO77" s="41"/>
      <c r="BDP77" s="41"/>
      <c r="BDQ77" s="41"/>
      <c r="BDR77" s="41"/>
      <c r="BDS77" s="76"/>
      <c r="BDT77" s="66"/>
      <c r="BDU77" s="66"/>
      <c r="BDV77" s="66"/>
      <c r="BDW77" s="66"/>
      <c r="BDX77" s="41"/>
      <c r="BDY77" s="139"/>
      <c r="BDZ77" s="41"/>
      <c r="BEA77" s="41"/>
      <c r="BEB77" s="41"/>
      <c r="BEC77" s="41"/>
      <c r="BED77" s="41"/>
      <c r="BEE77" s="76"/>
      <c r="BEF77" s="41"/>
      <c r="BEG77" s="41"/>
      <c r="BEH77" s="41"/>
      <c r="BEI77" s="41"/>
      <c r="BEJ77" s="41"/>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40"/>
      <c r="BHG77" s="66"/>
      <c r="BHH77" s="66"/>
      <c r="BHI77" s="66"/>
      <c r="BHJ77" s="41"/>
      <c r="BHK77" s="134"/>
      <c r="BHL77" s="41"/>
      <c r="BHM77" s="41"/>
      <c r="BHN77" s="41"/>
      <c r="BHO77" s="41"/>
      <c r="BHP77" s="41"/>
      <c r="BHQ77" s="139"/>
      <c r="BHR77" s="41"/>
      <c r="BHS77" s="41"/>
      <c r="BHT77" s="41"/>
      <c r="BHU77" s="41"/>
      <c r="BHV77" s="41"/>
      <c r="BHW77" s="76"/>
      <c r="BHX77" s="41"/>
      <c r="BHY77" s="41"/>
      <c r="BHZ77" s="41"/>
      <c r="BIA77" s="41"/>
      <c r="BIB77" s="41"/>
      <c r="BIC77" s="139"/>
      <c r="BID77" s="41"/>
      <c r="BIE77" s="41"/>
      <c r="BIF77" s="41"/>
      <c r="BIG77" s="41"/>
      <c r="BIH77" s="41"/>
      <c r="BII77" s="76"/>
      <c r="BIJ77" s="66"/>
      <c r="BIK77" s="66"/>
      <c r="BIL77" s="66"/>
      <c r="BIM77" s="66"/>
      <c r="BIN77" s="41"/>
      <c r="BIO77" s="139"/>
      <c r="BIP77" s="41"/>
      <c r="BIQ77" s="41"/>
      <c r="BIR77" s="41"/>
      <c r="BIS77" s="41"/>
      <c r="BIT77" s="41"/>
      <c r="BIU77" s="76"/>
      <c r="BIV77" s="41"/>
      <c r="BIW77" s="41"/>
      <c r="BIX77" s="41"/>
      <c r="BIY77" s="41"/>
      <c r="BIZ77" s="41"/>
      <c r="BJA77" s="139"/>
      <c r="BJB77" s="41"/>
      <c r="BJC77" s="41"/>
      <c r="BJD77" s="41"/>
      <c r="BJE77" s="41"/>
      <c r="BJF77" s="41"/>
      <c r="BJG77" s="76"/>
      <c r="BJH77" s="41"/>
      <c r="BJI77" s="41"/>
      <c r="BJJ77" s="41"/>
      <c r="BJK77" s="41"/>
      <c r="BJL77" s="41"/>
      <c r="BJM77" s="42"/>
      <c r="BJN77" s="40"/>
      <c r="BJO77" s="66"/>
      <c r="BJP77" s="66"/>
      <c r="BJQ77" s="66"/>
      <c r="BJR77" s="41"/>
      <c r="BJS77" s="134"/>
      <c r="BJT77" s="41"/>
      <c r="BJU77" s="41"/>
      <c r="BJV77" s="41"/>
      <c r="BJW77" s="41"/>
      <c r="BJX77" s="41"/>
      <c r="BJY77" s="139"/>
      <c r="BJZ77" s="41"/>
      <c r="BKA77" s="41"/>
      <c r="BKB77" s="41"/>
      <c r="BKC77" s="41"/>
      <c r="BKD77" s="41"/>
      <c r="BKE77" s="76"/>
      <c r="BKF77" s="41"/>
      <c r="BKG77" s="41"/>
      <c r="BKH77" s="41"/>
      <c r="BKI77" s="41"/>
      <c r="BKJ77" s="41"/>
      <c r="BKK77" s="139"/>
      <c r="BKL77" s="41"/>
      <c r="BKM77" s="41"/>
      <c r="BKN77" s="41"/>
      <c r="BKO77" s="41"/>
      <c r="BKP77" s="41"/>
      <c r="BKQ77" s="76"/>
      <c r="BKR77" s="66"/>
      <c r="BKS77" s="66"/>
      <c r="BKT77" s="66"/>
      <c r="BKU77" s="66"/>
      <c r="BKV77" s="41"/>
      <c r="BKW77" s="139"/>
      <c r="BKX77" s="41"/>
      <c r="BKY77" s="41"/>
      <c r="BKZ77" s="41"/>
      <c r="BLA77" s="41"/>
      <c r="BLB77" s="41"/>
      <c r="BLC77" s="76"/>
      <c r="BLD77" s="41"/>
      <c r="BLE77" s="41"/>
      <c r="BLF77" s="41"/>
      <c r="BLG77" s="41"/>
      <c r="BLH77" s="41"/>
      <c r="BLI77" s="139"/>
      <c r="BLJ77" s="41"/>
      <c r="BLK77" s="41"/>
      <c r="BLL77" s="41"/>
      <c r="BLM77" s="41"/>
      <c r="BLN77" s="41"/>
      <c r="BLO77" s="76"/>
      <c r="BLP77" s="41"/>
      <c r="BLQ77" s="41"/>
      <c r="BLR77" s="41"/>
      <c r="BLS77" s="41"/>
      <c r="BLT77" s="41"/>
      <c r="BLU77" s="42"/>
      <c r="BLV77" s="90"/>
    </row>
    <row r="78" spans="1:1686" ht="20.100000000000001" customHeight="1" x14ac:dyDescent="0.25">
      <c r="A78" s="100" t="s">
        <v>18</v>
      </c>
      <c r="B78" s="63"/>
      <c r="C78" s="207"/>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28"/>
      <c r="AVS78" s="67"/>
      <c r="AVT78" s="67"/>
      <c r="AVU78" s="67"/>
      <c r="AVV78" s="29"/>
      <c r="AVW78" s="133"/>
      <c r="AVX78" s="29"/>
      <c r="AVY78" s="29"/>
      <c r="AVZ78" s="29"/>
      <c r="AWA78" s="29"/>
      <c r="AWB78" s="29"/>
      <c r="AWC78" s="138"/>
      <c r="AWD78" s="29"/>
      <c r="AWE78" s="29"/>
      <c r="AWF78" s="29"/>
      <c r="AWG78" s="29"/>
      <c r="AWH78" s="29"/>
      <c r="AWI78" s="75"/>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28"/>
      <c r="BHG78" s="67"/>
      <c r="BHH78" s="67"/>
      <c r="BHI78" s="67"/>
      <c r="BHJ78" s="29"/>
      <c r="BHK78" s="133"/>
      <c r="BHL78" s="29"/>
      <c r="BHM78" s="29"/>
      <c r="BHN78" s="29"/>
      <c r="BHO78" s="29"/>
      <c r="BHP78" s="29"/>
      <c r="BHQ78" s="138"/>
      <c r="BHR78" s="29"/>
      <c r="BHS78" s="29"/>
      <c r="BHT78" s="29"/>
      <c r="BHU78" s="29"/>
      <c r="BHV78" s="29"/>
      <c r="BHW78" s="75"/>
      <c r="BHX78" s="29"/>
      <c r="BHY78" s="29"/>
      <c r="BHZ78" s="29"/>
      <c r="BIA78" s="29"/>
      <c r="BIB78" s="29"/>
      <c r="BIC78" s="138"/>
      <c r="BID78" s="29"/>
      <c r="BIE78" s="29"/>
      <c r="BIF78" s="29"/>
      <c r="BIG78" s="29"/>
      <c r="BIH78" s="29"/>
      <c r="BII78" s="75"/>
      <c r="BIJ78" s="67"/>
      <c r="BIK78" s="67"/>
      <c r="BIL78" s="67"/>
      <c r="BIM78" s="67"/>
      <c r="BIN78" s="29"/>
      <c r="BIO78" s="138"/>
      <c r="BIP78" s="29"/>
      <c r="BIQ78" s="29"/>
      <c r="BIR78" s="29"/>
      <c r="BIS78" s="29"/>
      <c r="BIT78" s="29"/>
      <c r="BIU78" s="75"/>
      <c r="BIV78" s="29"/>
      <c r="BIW78" s="29"/>
      <c r="BIX78" s="29"/>
      <c r="BIY78" s="29"/>
      <c r="BIZ78" s="29"/>
      <c r="BJA78" s="138"/>
      <c r="BJB78" s="29"/>
      <c r="BJC78" s="29"/>
      <c r="BJD78" s="29"/>
      <c r="BJE78" s="29"/>
      <c r="BJF78" s="29"/>
      <c r="BJG78" s="75"/>
      <c r="BJH78" s="29"/>
      <c r="BJI78" s="29"/>
      <c r="BJJ78" s="29"/>
      <c r="BJK78" s="29"/>
      <c r="BJL78" s="29"/>
      <c r="BJM78" s="30"/>
      <c r="BJN78" s="28"/>
      <c r="BJO78" s="67"/>
      <c r="BJP78" s="67"/>
      <c r="BJQ78" s="67"/>
      <c r="BJR78" s="29"/>
      <c r="BJS78" s="133"/>
      <c r="BJT78" s="29"/>
      <c r="BJU78" s="29"/>
      <c r="BJV78" s="29"/>
      <c r="BJW78" s="29"/>
      <c r="BJX78" s="29"/>
      <c r="BJY78" s="138"/>
      <c r="BJZ78" s="29"/>
      <c r="BKA78" s="29"/>
      <c r="BKB78" s="29"/>
      <c r="BKC78" s="29"/>
      <c r="BKD78" s="29"/>
      <c r="BKE78" s="75"/>
      <c r="BKF78" s="29"/>
      <c r="BKG78" s="29"/>
      <c r="BKH78" s="29"/>
      <c r="BKI78" s="29"/>
      <c r="BKJ78" s="29"/>
      <c r="BKK78" s="138"/>
      <c r="BKL78" s="29"/>
      <c r="BKM78" s="29"/>
      <c r="BKN78" s="29"/>
      <c r="BKO78" s="29"/>
      <c r="BKP78" s="29"/>
      <c r="BKQ78" s="75"/>
      <c r="BKR78" s="67"/>
      <c r="BKS78" s="67"/>
      <c r="BKT78" s="67"/>
      <c r="BKU78" s="67"/>
      <c r="BKV78" s="29"/>
      <c r="BKW78" s="138"/>
      <c r="BKX78" s="29"/>
      <c r="BKY78" s="29"/>
      <c r="BKZ78" s="29"/>
      <c r="BLA78" s="29"/>
      <c r="BLB78" s="29"/>
      <c r="BLC78" s="75"/>
      <c r="BLD78" s="29"/>
      <c r="BLE78" s="29"/>
      <c r="BLF78" s="29"/>
      <c r="BLG78" s="29"/>
      <c r="BLH78" s="29"/>
      <c r="BLI78" s="138"/>
      <c r="BLJ78" s="29"/>
      <c r="BLK78" s="29"/>
      <c r="BLL78" s="29"/>
      <c r="BLM78" s="29"/>
      <c r="BLN78" s="29"/>
      <c r="BLO78" s="75"/>
      <c r="BLP78" s="29"/>
      <c r="BLQ78" s="29"/>
      <c r="BLR78" s="29"/>
      <c r="BLS78" s="29"/>
      <c r="BLT78" s="29"/>
      <c r="BLU78" s="30"/>
      <c r="BLV78" s="90"/>
    </row>
    <row r="79" spans="1:1686" ht="20.100000000000001" customHeight="1" x14ac:dyDescent="0.25">
      <c r="A79" s="100" t="s">
        <v>17</v>
      </c>
      <c r="B79" s="63"/>
      <c r="C79" s="205"/>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32"/>
      <c r="BHG79" s="64"/>
      <c r="BHH79" s="64"/>
      <c r="BHI79" s="64"/>
      <c r="BHJ79" s="33"/>
      <c r="BHK79" s="132"/>
      <c r="BHL79" s="33"/>
      <c r="BHM79" s="33"/>
      <c r="BHN79" s="33"/>
      <c r="BHO79" s="33"/>
      <c r="BHP79" s="33"/>
      <c r="BHQ79" s="137"/>
      <c r="BHR79" s="33"/>
      <c r="BHS79" s="33"/>
      <c r="BHT79" s="33"/>
      <c r="BHU79" s="33"/>
      <c r="BHV79" s="33"/>
      <c r="BHW79" s="74"/>
      <c r="BHX79" s="33"/>
      <c r="BHY79" s="33"/>
      <c r="BHZ79" s="33"/>
      <c r="BIA79" s="33"/>
      <c r="BIB79" s="33"/>
      <c r="BIC79" s="137"/>
      <c r="BID79" s="33"/>
      <c r="BIE79" s="33"/>
      <c r="BIF79" s="33"/>
      <c r="BIG79" s="33"/>
      <c r="BIH79" s="33"/>
      <c r="BII79" s="74"/>
      <c r="BIJ79" s="64"/>
      <c r="BIK79" s="64"/>
      <c r="BIL79" s="64"/>
      <c r="BIM79" s="64"/>
      <c r="BIN79" s="33"/>
      <c r="BIO79" s="137"/>
      <c r="BIP79" s="33"/>
      <c r="BIQ79" s="33"/>
      <c r="BIR79" s="33"/>
      <c r="BIS79" s="33"/>
      <c r="BIT79" s="33"/>
      <c r="BIU79" s="74"/>
      <c r="BIV79" s="33"/>
      <c r="BIW79" s="33"/>
      <c r="BIX79" s="33"/>
      <c r="BIY79" s="33"/>
      <c r="BIZ79" s="33"/>
      <c r="BJA79" s="137"/>
      <c r="BJB79" s="33"/>
      <c r="BJC79" s="33"/>
      <c r="BJD79" s="33"/>
      <c r="BJE79" s="33"/>
      <c r="BJF79" s="33"/>
      <c r="BJG79" s="74"/>
      <c r="BJH79" s="33"/>
      <c r="BJI79" s="33"/>
      <c r="BJJ79" s="33"/>
      <c r="BJK79" s="33"/>
      <c r="BJL79" s="33"/>
      <c r="BJM79" s="34"/>
      <c r="BJN79" s="32"/>
      <c r="BJO79" s="64"/>
      <c r="BJP79" s="64"/>
      <c r="BJQ79" s="64"/>
      <c r="BJR79" s="33"/>
      <c r="BJS79" s="132"/>
      <c r="BJT79" s="33"/>
      <c r="BJU79" s="33"/>
      <c r="BJV79" s="33"/>
      <c r="BJW79" s="33"/>
      <c r="BJX79" s="33"/>
      <c r="BJY79" s="137"/>
      <c r="BJZ79" s="33"/>
      <c r="BKA79" s="33"/>
      <c r="BKB79" s="33"/>
      <c r="BKC79" s="33"/>
      <c r="BKD79" s="33"/>
      <c r="BKE79" s="74"/>
      <c r="BKF79" s="33"/>
      <c r="BKG79" s="33"/>
      <c r="BKH79" s="33"/>
      <c r="BKI79" s="33"/>
      <c r="BKJ79" s="33"/>
      <c r="BKK79" s="137"/>
      <c r="BKL79" s="33"/>
      <c r="BKM79" s="33"/>
      <c r="BKN79" s="33"/>
      <c r="BKO79" s="33"/>
      <c r="BKP79" s="33"/>
      <c r="BKQ79" s="74"/>
      <c r="BKR79" s="64"/>
      <c r="BKS79" s="64"/>
      <c r="BKT79" s="64"/>
      <c r="BKU79" s="64"/>
      <c r="BKV79" s="33"/>
      <c r="BKW79" s="137"/>
      <c r="BKX79" s="33"/>
      <c r="BKY79" s="33"/>
      <c r="BKZ79" s="33"/>
      <c r="BLA79" s="33"/>
      <c r="BLB79" s="33"/>
      <c r="BLC79" s="74"/>
      <c r="BLD79" s="33"/>
      <c r="BLE79" s="33"/>
      <c r="BLF79" s="33"/>
      <c r="BLG79" s="33"/>
      <c r="BLH79" s="33"/>
      <c r="BLI79" s="137"/>
      <c r="BLJ79" s="33"/>
      <c r="BLK79" s="33"/>
      <c r="BLL79" s="33"/>
      <c r="BLM79" s="33"/>
      <c r="BLN79" s="33"/>
      <c r="BLO79" s="74"/>
      <c r="BLP79" s="33"/>
      <c r="BLQ79" s="33"/>
      <c r="BLR79" s="33"/>
      <c r="BLS79" s="33"/>
      <c r="BLT79" s="33"/>
      <c r="BLU79" s="34"/>
      <c r="BLV79" s="90"/>
    </row>
    <row r="80" spans="1:1686" ht="20.100000000000001" customHeight="1" x14ac:dyDescent="0.3">
      <c r="A80" s="100" t="s">
        <v>18</v>
      </c>
      <c r="B80" s="63"/>
      <c r="C80" s="206"/>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36"/>
      <c r="BHG80" s="65"/>
      <c r="BHH80" s="65"/>
      <c r="BHI80" s="65"/>
      <c r="BHJ80" s="37"/>
      <c r="BHK80" s="133"/>
      <c r="BHL80" s="37"/>
      <c r="BHM80" s="37"/>
      <c r="BHN80" s="37"/>
      <c r="BHO80" s="37"/>
      <c r="BHP80" s="37"/>
      <c r="BHQ80" s="138"/>
      <c r="BHR80" s="37"/>
      <c r="BHS80" s="37"/>
      <c r="BHT80" s="37"/>
      <c r="BHU80" s="37"/>
      <c r="BHV80" s="37"/>
      <c r="BHW80" s="75"/>
      <c r="BHX80" s="37"/>
      <c r="BHY80" s="37"/>
      <c r="BHZ80" s="37"/>
      <c r="BIA80" s="37"/>
      <c r="BIB80" s="37"/>
      <c r="BIC80" s="138"/>
      <c r="BID80" s="37"/>
      <c r="BIE80" s="37"/>
      <c r="BIF80" s="37"/>
      <c r="BIG80" s="37"/>
      <c r="BIH80" s="37"/>
      <c r="BII80" s="75"/>
      <c r="BIJ80" s="65"/>
      <c r="BIK80" s="65"/>
      <c r="BIL80" s="65"/>
      <c r="BIM80" s="65"/>
      <c r="BIN80" s="37"/>
      <c r="BIO80" s="138"/>
      <c r="BIP80" s="37"/>
      <c r="BIQ80" s="37"/>
      <c r="BIR80" s="37"/>
      <c r="BIS80" s="37"/>
      <c r="BIT80" s="37"/>
      <c r="BIU80" s="75"/>
      <c r="BIV80" s="37"/>
      <c r="BIW80" s="37"/>
      <c r="BIX80" s="37"/>
      <c r="BIY80" s="37"/>
      <c r="BIZ80" s="37"/>
      <c r="BJA80" s="138"/>
      <c r="BJB80" s="37"/>
      <c r="BJC80" s="37"/>
      <c r="BJD80" s="37"/>
      <c r="BJE80" s="37"/>
      <c r="BJF80" s="37"/>
      <c r="BJG80" s="75"/>
      <c r="BJH80" s="37"/>
      <c r="BJI80" s="37"/>
      <c r="BJJ80" s="37"/>
      <c r="BJK80" s="37"/>
      <c r="BJL80" s="37"/>
      <c r="BJM80" s="38"/>
      <c r="BJN80" s="36"/>
      <c r="BJO80" s="65"/>
      <c r="BJP80" s="65"/>
      <c r="BJQ80" s="65"/>
      <c r="BJR80" s="37"/>
      <c r="BJS80" s="133"/>
      <c r="BJT80" s="37"/>
      <c r="BJU80" s="37"/>
      <c r="BJV80" s="37"/>
      <c r="BJW80" s="37"/>
      <c r="BJX80" s="37"/>
      <c r="BJY80" s="138"/>
      <c r="BJZ80" s="37"/>
      <c r="BKA80" s="37"/>
      <c r="BKB80" s="37"/>
      <c r="BKC80" s="37"/>
      <c r="BKD80" s="37"/>
      <c r="BKE80" s="75"/>
      <c r="BKF80" s="37"/>
      <c r="BKG80" s="37"/>
      <c r="BKH80" s="37"/>
      <c r="BKI80" s="37"/>
      <c r="BKJ80" s="37"/>
      <c r="BKK80" s="138"/>
      <c r="BKL80" s="37"/>
      <c r="BKM80" s="37"/>
      <c r="BKN80" s="37"/>
      <c r="BKO80" s="37"/>
      <c r="BKP80" s="37"/>
      <c r="BKQ80" s="75"/>
      <c r="BKR80" s="65"/>
      <c r="BKS80" s="65"/>
      <c r="BKT80" s="65"/>
      <c r="BKU80" s="65"/>
      <c r="BKV80" s="37"/>
      <c r="BKW80" s="138"/>
      <c r="BKX80" s="37"/>
      <c r="BKY80" s="37"/>
      <c r="BKZ80" s="37"/>
      <c r="BLA80" s="37"/>
      <c r="BLB80" s="37"/>
      <c r="BLC80" s="75"/>
      <c r="BLD80" s="37"/>
      <c r="BLE80" s="37"/>
      <c r="BLF80" s="37"/>
      <c r="BLG80" s="37"/>
      <c r="BLH80" s="37"/>
      <c r="BLI80" s="138"/>
      <c r="BLJ80" s="37"/>
      <c r="BLK80" s="37"/>
      <c r="BLL80" s="37"/>
      <c r="BLM80" s="37"/>
      <c r="BLN80" s="37"/>
      <c r="BLO80" s="75"/>
      <c r="BLP80" s="37"/>
      <c r="BLQ80" s="37"/>
      <c r="BLR80" s="37"/>
      <c r="BLS80" s="37"/>
      <c r="BLT80" s="37"/>
      <c r="BLU80" s="38"/>
      <c r="BLV80" s="90"/>
    </row>
    <row r="81" spans="1:1686" ht="20.100000000000001" customHeight="1" x14ac:dyDescent="0.25">
      <c r="A81" s="100" t="s">
        <v>17</v>
      </c>
      <c r="B81" s="63"/>
      <c r="C81" s="205"/>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40"/>
      <c r="BHG81" s="66"/>
      <c r="BHH81" s="66"/>
      <c r="BHI81" s="66"/>
      <c r="BHJ81" s="41"/>
      <c r="BHK81" s="134"/>
      <c r="BHL81" s="41"/>
      <c r="BHM81" s="41"/>
      <c r="BHN81" s="41"/>
      <c r="BHO81" s="41"/>
      <c r="BHP81" s="41"/>
      <c r="BHQ81" s="139"/>
      <c r="BHR81" s="41"/>
      <c r="BHS81" s="41"/>
      <c r="BHT81" s="41"/>
      <c r="BHU81" s="41"/>
      <c r="BHV81" s="41"/>
      <c r="BHW81" s="76"/>
      <c r="BHX81" s="41"/>
      <c r="BHY81" s="41"/>
      <c r="BHZ81" s="41"/>
      <c r="BIA81" s="41"/>
      <c r="BIB81" s="41"/>
      <c r="BIC81" s="139"/>
      <c r="BID81" s="41"/>
      <c r="BIE81" s="41"/>
      <c r="BIF81" s="41"/>
      <c r="BIG81" s="41"/>
      <c r="BIH81" s="41"/>
      <c r="BII81" s="76"/>
      <c r="BIJ81" s="66"/>
      <c r="BIK81" s="66"/>
      <c r="BIL81" s="66"/>
      <c r="BIM81" s="66"/>
      <c r="BIN81" s="41"/>
      <c r="BIO81" s="139"/>
      <c r="BIP81" s="41"/>
      <c r="BIQ81" s="41"/>
      <c r="BIR81" s="41"/>
      <c r="BIS81" s="41"/>
      <c r="BIT81" s="41"/>
      <c r="BIU81" s="76"/>
      <c r="BIV81" s="41"/>
      <c r="BIW81" s="41"/>
      <c r="BIX81" s="41"/>
      <c r="BIY81" s="41"/>
      <c r="BIZ81" s="41"/>
      <c r="BJA81" s="139"/>
      <c r="BJB81" s="41"/>
      <c r="BJC81" s="41"/>
      <c r="BJD81" s="41"/>
      <c r="BJE81" s="41"/>
      <c r="BJF81" s="41"/>
      <c r="BJG81" s="76"/>
      <c r="BJH81" s="41"/>
      <c r="BJI81" s="41"/>
      <c r="BJJ81" s="41"/>
      <c r="BJK81" s="41"/>
      <c r="BJL81" s="41"/>
      <c r="BJM81" s="42"/>
      <c r="BJN81" s="40"/>
      <c r="BJO81" s="66"/>
      <c r="BJP81" s="66"/>
      <c r="BJQ81" s="66"/>
      <c r="BJR81" s="41"/>
      <c r="BJS81" s="134"/>
      <c r="BJT81" s="41"/>
      <c r="BJU81" s="41"/>
      <c r="BJV81" s="41"/>
      <c r="BJW81" s="41"/>
      <c r="BJX81" s="41"/>
      <c r="BJY81" s="139"/>
      <c r="BJZ81" s="41"/>
      <c r="BKA81" s="41"/>
      <c r="BKB81" s="41"/>
      <c r="BKC81" s="41"/>
      <c r="BKD81" s="41"/>
      <c r="BKE81" s="76"/>
      <c r="BKF81" s="41"/>
      <c r="BKG81" s="41"/>
      <c r="BKH81" s="41"/>
      <c r="BKI81" s="41"/>
      <c r="BKJ81" s="41"/>
      <c r="BKK81" s="139"/>
      <c r="BKL81" s="41"/>
      <c r="BKM81" s="41"/>
      <c r="BKN81" s="41"/>
      <c r="BKO81" s="41"/>
      <c r="BKP81" s="41"/>
      <c r="BKQ81" s="76"/>
      <c r="BKR81" s="66"/>
      <c r="BKS81" s="66"/>
      <c r="BKT81" s="66"/>
      <c r="BKU81" s="66"/>
      <c r="BKV81" s="41"/>
      <c r="BKW81" s="139"/>
      <c r="BKX81" s="41"/>
      <c r="BKY81" s="41"/>
      <c r="BKZ81" s="41"/>
      <c r="BLA81" s="41"/>
      <c r="BLB81" s="41"/>
      <c r="BLC81" s="76"/>
      <c r="BLD81" s="41"/>
      <c r="BLE81" s="41"/>
      <c r="BLF81" s="41"/>
      <c r="BLG81" s="41"/>
      <c r="BLH81" s="41"/>
      <c r="BLI81" s="139"/>
      <c r="BLJ81" s="41"/>
      <c r="BLK81" s="41"/>
      <c r="BLL81" s="41"/>
      <c r="BLM81" s="41"/>
      <c r="BLN81" s="41"/>
      <c r="BLO81" s="76"/>
      <c r="BLP81" s="41"/>
      <c r="BLQ81" s="41"/>
      <c r="BLR81" s="41"/>
      <c r="BLS81" s="41"/>
      <c r="BLT81" s="41"/>
      <c r="BLU81" s="42"/>
      <c r="BLV81" s="90"/>
    </row>
    <row r="82" spans="1:1686" ht="20.100000000000001" customHeight="1" x14ac:dyDescent="0.3">
      <c r="A82" s="100" t="s">
        <v>18</v>
      </c>
      <c r="B82" s="63"/>
      <c r="C82" s="206"/>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28"/>
      <c r="BHG82" s="67"/>
      <c r="BHH82" s="67"/>
      <c r="BHI82" s="67"/>
      <c r="BHJ82" s="29"/>
      <c r="BHK82" s="131"/>
      <c r="BHL82" s="29"/>
      <c r="BHM82" s="29"/>
      <c r="BHN82" s="29"/>
      <c r="BHO82" s="29"/>
      <c r="BHP82" s="29"/>
      <c r="BHQ82" s="136"/>
      <c r="BHR82" s="29"/>
      <c r="BHS82" s="29"/>
      <c r="BHT82" s="29"/>
      <c r="BHU82" s="29"/>
      <c r="BHV82" s="29"/>
      <c r="BHW82" s="73"/>
      <c r="BHX82" s="29"/>
      <c r="BHY82" s="29"/>
      <c r="BHZ82" s="29"/>
      <c r="BIA82" s="29"/>
      <c r="BIB82" s="29"/>
      <c r="BIC82" s="136"/>
      <c r="BID82" s="29"/>
      <c r="BIE82" s="29"/>
      <c r="BIF82" s="29"/>
      <c r="BIG82" s="29"/>
      <c r="BIH82" s="29"/>
      <c r="BII82" s="73"/>
      <c r="BIJ82" s="67"/>
      <c r="BIK82" s="67"/>
      <c r="BIL82" s="67"/>
      <c r="BIM82" s="67"/>
      <c r="BIN82" s="29"/>
      <c r="BIO82" s="136"/>
      <c r="BIP82" s="29"/>
      <c r="BIQ82" s="29"/>
      <c r="BIR82" s="29"/>
      <c r="BIS82" s="29"/>
      <c r="BIT82" s="29"/>
      <c r="BIU82" s="73"/>
      <c r="BIV82" s="29"/>
      <c r="BIW82" s="29"/>
      <c r="BIX82" s="29"/>
      <c r="BIY82" s="29"/>
      <c r="BIZ82" s="29"/>
      <c r="BJA82" s="136"/>
      <c r="BJB82" s="29"/>
      <c r="BJC82" s="29"/>
      <c r="BJD82" s="29"/>
      <c r="BJE82" s="29"/>
      <c r="BJF82" s="29"/>
      <c r="BJG82" s="73"/>
      <c r="BJH82" s="29"/>
      <c r="BJI82" s="29"/>
      <c r="BJJ82" s="29"/>
      <c r="BJK82" s="29"/>
      <c r="BJL82" s="29"/>
      <c r="BJM82" s="30"/>
      <c r="BJN82" s="28"/>
      <c r="BJO82" s="67"/>
      <c r="BJP82" s="67"/>
      <c r="BJQ82" s="67"/>
      <c r="BJR82" s="29"/>
      <c r="BJS82" s="131"/>
      <c r="BJT82" s="29"/>
      <c r="BJU82" s="29"/>
      <c r="BJV82" s="29"/>
      <c r="BJW82" s="29"/>
      <c r="BJX82" s="29"/>
      <c r="BJY82" s="136"/>
      <c r="BJZ82" s="29"/>
      <c r="BKA82" s="29"/>
      <c r="BKB82" s="29"/>
      <c r="BKC82" s="29"/>
      <c r="BKD82" s="29"/>
      <c r="BKE82" s="73"/>
      <c r="BKF82" s="29"/>
      <c r="BKG82" s="29"/>
      <c r="BKH82" s="29"/>
      <c r="BKI82" s="29"/>
      <c r="BKJ82" s="29"/>
      <c r="BKK82" s="136"/>
      <c r="BKL82" s="29"/>
      <c r="BKM82" s="29"/>
      <c r="BKN82" s="29"/>
      <c r="BKO82" s="29"/>
      <c r="BKP82" s="29"/>
      <c r="BKQ82" s="73"/>
      <c r="BKR82" s="67"/>
      <c r="BKS82" s="67"/>
      <c r="BKT82" s="67"/>
      <c r="BKU82" s="67"/>
      <c r="BKV82" s="29"/>
      <c r="BKW82" s="136"/>
      <c r="BKX82" s="29"/>
      <c r="BKY82" s="29"/>
      <c r="BKZ82" s="29"/>
      <c r="BLA82" s="29"/>
      <c r="BLB82" s="29"/>
      <c r="BLC82" s="73"/>
      <c r="BLD82" s="29"/>
      <c r="BLE82" s="29"/>
      <c r="BLF82" s="29"/>
      <c r="BLG82" s="29"/>
      <c r="BLH82" s="29"/>
      <c r="BLI82" s="136"/>
      <c r="BLJ82" s="29"/>
      <c r="BLK82" s="29"/>
      <c r="BLL82" s="29"/>
      <c r="BLM82" s="29"/>
      <c r="BLN82" s="29"/>
      <c r="BLO82" s="73"/>
      <c r="BLP82" s="29"/>
      <c r="BLQ82" s="29"/>
      <c r="BLR82" s="29"/>
      <c r="BLS82" s="29"/>
      <c r="BLT82" s="29"/>
      <c r="BLU82" s="30"/>
      <c r="BLV82" s="90"/>
    </row>
    <row r="83" spans="1:1686" ht="20.100000000000001" customHeight="1" x14ac:dyDescent="0.25">
      <c r="A83" s="100" t="s">
        <v>17</v>
      </c>
      <c r="B83" s="63"/>
      <c r="C83" s="205"/>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32"/>
      <c r="BHG83" s="64"/>
      <c r="BHH83" s="64"/>
      <c r="BHI83" s="64"/>
      <c r="BHJ83" s="33"/>
      <c r="BHK83" s="132"/>
      <c r="BHL83" s="33"/>
      <c r="BHM83" s="33"/>
      <c r="BHN83" s="33"/>
      <c r="BHO83" s="33"/>
      <c r="BHP83" s="33"/>
      <c r="BHQ83" s="137"/>
      <c r="BHR83" s="33"/>
      <c r="BHS83" s="33"/>
      <c r="BHT83" s="33"/>
      <c r="BHU83" s="33"/>
      <c r="BHV83" s="33"/>
      <c r="BHW83" s="74"/>
      <c r="BHX83" s="33"/>
      <c r="BHY83" s="33"/>
      <c r="BHZ83" s="33"/>
      <c r="BIA83" s="33"/>
      <c r="BIB83" s="33"/>
      <c r="BIC83" s="137"/>
      <c r="BID83" s="33"/>
      <c r="BIE83" s="33"/>
      <c r="BIF83" s="33"/>
      <c r="BIG83" s="33"/>
      <c r="BIH83" s="33"/>
      <c r="BII83" s="74"/>
      <c r="BIJ83" s="64"/>
      <c r="BIK83" s="64"/>
      <c r="BIL83" s="64"/>
      <c r="BIM83" s="64"/>
      <c r="BIN83" s="33"/>
      <c r="BIO83" s="137"/>
      <c r="BIP83" s="33"/>
      <c r="BIQ83" s="33"/>
      <c r="BIR83" s="33"/>
      <c r="BIS83" s="33"/>
      <c r="BIT83" s="33"/>
      <c r="BIU83" s="74"/>
      <c r="BIV83" s="33"/>
      <c r="BIW83" s="33"/>
      <c r="BIX83" s="33"/>
      <c r="BIY83" s="33"/>
      <c r="BIZ83" s="33"/>
      <c r="BJA83" s="137"/>
      <c r="BJB83" s="33"/>
      <c r="BJC83" s="33"/>
      <c r="BJD83" s="33"/>
      <c r="BJE83" s="33"/>
      <c r="BJF83" s="33"/>
      <c r="BJG83" s="74"/>
      <c r="BJH83" s="33"/>
      <c r="BJI83" s="33"/>
      <c r="BJJ83" s="33"/>
      <c r="BJK83" s="33"/>
      <c r="BJL83" s="33"/>
      <c r="BJM83" s="34"/>
      <c r="BJN83" s="32"/>
      <c r="BJO83" s="64"/>
      <c r="BJP83" s="64"/>
      <c r="BJQ83" s="64"/>
      <c r="BJR83" s="33"/>
      <c r="BJS83" s="132"/>
      <c r="BJT83" s="33"/>
      <c r="BJU83" s="33"/>
      <c r="BJV83" s="33"/>
      <c r="BJW83" s="33"/>
      <c r="BJX83" s="33"/>
      <c r="BJY83" s="137"/>
      <c r="BJZ83" s="33"/>
      <c r="BKA83" s="33"/>
      <c r="BKB83" s="33"/>
      <c r="BKC83" s="33"/>
      <c r="BKD83" s="33"/>
      <c r="BKE83" s="74"/>
      <c r="BKF83" s="33"/>
      <c r="BKG83" s="33"/>
      <c r="BKH83" s="33"/>
      <c r="BKI83" s="33"/>
      <c r="BKJ83" s="33"/>
      <c r="BKK83" s="137"/>
      <c r="BKL83" s="33"/>
      <c r="BKM83" s="33"/>
      <c r="BKN83" s="33"/>
      <c r="BKO83" s="33"/>
      <c r="BKP83" s="33"/>
      <c r="BKQ83" s="74"/>
      <c r="BKR83" s="64"/>
      <c r="BKS83" s="64"/>
      <c r="BKT83" s="64"/>
      <c r="BKU83" s="64"/>
      <c r="BKV83" s="33"/>
      <c r="BKW83" s="137"/>
      <c r="BKX83" s="33"/>
      <c r="BKY83" s="33"/>
      <c r="BKZ83" s="33"/>
      <c r="BLA83" s="33"/>
      <c r="BLB83" s="33"/>
      <c r="BLC83" s="74"/>
      <c r="BLD83" s="33"/>
      <c r="BLE83" s="33"/>
      <c r="BLF83" s="33"/>
      <c r="BLG83" s="33"/>
      <c r="BLH83" s="33"/>
      <c r="BLI83" s="137"/>
      <c r="BLJ83" s="33"/>
      <c r="BLK83" s="33"/>
      <c r="BLL83" s="33"/>
      <c r="BLM83" s="33"/>
      <c r="BLN83" s="33"/>
      <c r="BLO83" s="74"/>
      <c r="BLP83" s="33"/>
      <c r="BLQ83" s="33"/>
      <c r="BLR83" s="33"/>
      <c r="BLS83" s="33"/>
      <c r="BLT83" s="33"/>
      <c r="BLU83" s="34"/>
      <c r="BLV83" s="90"/>
    </row>
    <row r="84" spans="1:1686" ht="20.100000000000001" customHeight="1" x14ac:dyDescent="0.25">
      <c r="A84" s="100" t="s">
        <v>18</v>
      </c>
      <c r="B84" s="63"/>
      <c r="C84" s="207"/>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36"/>
      <c r="BHG84" s="65"/>
      <c r="BHH84" s="65"/>
      <c r="BHI84" s="65"/>
      <c r="BHJ84" s="37"/>
      <c r="BHK84" s="133"/>
      <c r="BHL84" s="37"/>
      <c r="BHM84" s="37"/>
      <c r="BHN84" s="37"/>
      <c r="BHO84" s="37"/>
      <c r="BHP84" s="37"/>
      <c r="BHQ84" s="138"/>
      <c r="BHR84" s="37"/>
      <c r="BHS84" s="37"/>
      <c r="BHT84" s="37"/>
      <c r="BHU84" s="37"/>
      <c r="BHV84" s="37"/>
      <c r="BHW84" s="75"/>
      <c r="BHX84" s="37"/>
      <c r="BHY84" s="37"/>
      <c r="BHZ84" s="37"/>
      <c r="BIA84" s="37"/>
      <c r="BIB84" s="37"/>
      <c r="BIC84" s="138"/>
      <c r="BID84" s="37"/>
      <c r="BIE84" s="37"/>
      <c r="BIF84" s="37"/>
      <c r="BIG84" s="37"/>
      <c r="BIH84" s="37"/>
      <c r="BII84" s="75"/>
      <c r="BIJ84" s="65"/>
      <c r="BIK84" s="65"/>
      <c r="BIL84" s="65"/>
      <c r="BIM84" s="65"/>
      <c r="BIN84" s="37"/>
      <c r="BIO84" s="138"/>
      <c r="BIP84" s="37"/>
      <c r="BIQ84" s="37"/>
      <c r="BIR84" s="37"/>
      <c r="BIS84" s="37"/>
      <c r="BIT84" s="37"/>
      <c r="BIU84" s="75"/>
      <c r="BIV84" s="37"/>
      <c r="BIW84" s="37"/>
      <c r="BIX84" s="37"/>
      <c r="BIY84" s="37"/>
      <c r="BIZ84" s="37"/>
      <c r="BJA84" s="138"/>
      <c r="BJB84" s="37"/>
      <c r="BJC84" s="37"/>
      <c r="BJD84" s="37"/>
      <c r="BJE84" s="37"/>
      <c r="BJF84" s="37"/>
      <c r="BJG84" s="75"/>
      <c r="BJH84" s="37"/>
      <c r="BJI84" s="37"/>
      <c r="BJJ84" s="37"/>
      <c r="BJK84" s="37"/>
      <c r="BJL84" s="37"/>
      <c r="BJM84" s="38"/>
      <c r="BJN84" s="36"/>
      <c r="BJO84" s="65"/>
      <c r="BJP84" s="65"/>
      <c r="BJQ84" s="65"/>
      <c r="BJR84" s="37"/>
      <c r="BJS84" s="133"/>
      <c r="BJT84" s="37"/>
      <c r="BJU84" s="37"/>
      <c r="BJV84" s="37"/>
      <c r="BJW84" s="37"/>
      <c r="BJX84" s="37"/>
      <c r="BJY84" s="138"/>
      <c r="BJZ84" s="37"/>
      <c r="BKA84" s="37"/>
      <c r="BKB84" s="37"/>
      <c r="BKC84" s="37"/>
      <c r="BKD84" s="37"/>
      <c r="BKE84" s="75"/>
      <c r="BKF84" s="37"/>
      <c r="BKG84" s="37"/>
      <c r="BKH84" s="37"/>
      <c r="BKI84" s="37"/>
      <c r="BKJ84" s="37"/>
      <c r="BKK84" s="138"/>
      <c r="BKL84" s="37"/>
      <c r="BKM84" s="37"/>
      <c r="BKN84" s="37"/>
      <c r="BKO84" s="37"/>
      <c r="BKP84" s="37"/>
      <c r="BKQ84" s="75"/>
      <c r="BKR84" s="65"/>
      <c r="BKS84" s="65"/>
      <c r="BKT84" s="65"/>
      <c r="BKU84" s="65"/>
      <c r="BKV84" s="37"/>
      <c r="BKW84" s="138"/>
      <c r="BKX84" s="37"/>
      <c r="BKY84" s="37"/>
      <c r="BKZ84" s="37"/>
      <c r="BLA84" s="37"/>
      <c r="BLB84" s="37"/>
      <c r="BLC84" s="75"/>
      <c r="BLD84" s="37"/>
      <c r="BLE84" s="37"/>
      <c r="BLF84" s="37"/>
      <c r="BLG84" s="37"/>
      <c r="BLH84" s="37"/>
      <c r="BLI84" s="138"/>
      <c r="BLJ84" s="37"/>
      <c r="BLK84" s="37"/>
      <c r="BLL84" s="37"/>
      <c r="BLM84" s="37"/>
      <c r="BLN84" s="37"/>
      <c r="BLO84" s="75"/>
      <c r="BLP84" s="37"/>
      <c r="BLQ84" s="37"/>
      <c r="BLR84" s="37"/>
      <c r="BLS84" s="37"/>
      <c r="BLT84" s="37"/>
      <c r="BLU84" s="38"/>
      <c r="BLV84" s="90"/>
    </row>
    <row r="85" spans="1:1686" ht="20.100000000000001" customHeight="1" x14ac:dyDescent="0.25">
      <c r="A85" s="100" t="s">
        <v>17</v>
      </c>
      <c r="B85" s="63"/>
      <c r="C85" s="205"/>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40"/>
      <c r="BHG85" s="66"/>
      <c r="BHH85" s="66"/>
      <c r="BHI85" s="66"/>
      <c r="BHJ85" s="41"/>
      <c r="BHK85" s="134"/>
      <c r="BHL85" s="41"/>
      <c r="BHM85" s="41"/>
      <c r="BHN85" s="41"/>
      <c r="BHO85" s="41"/>
      <c r="BHP85" s="41"/>
      <c r="BHQ85" s="139"/>
      <c r="BHR85" s="41"/>
      <c r="BHS85" s="41"/>
      <c r="BHT85" s="41"/>
      <c r="BHU85" s="41"/>
      <c r="BHV85" s="41"/>
      <c r="BHW85" s="76"/>
      <c r="BHX85" s="41"/>
      <c r="BHY85" s="41"/>
      <c r="BHZ85" s="41"/>
      <c r="BIA85" s="41"/>
      <c r="BIB85" s="41"/>
      <c r="BIC85" s="139"/>
      <c r="BID85" s="41"/>
      <c r="BIE85" s="41"/>
      <c r="BIF85" s="41"/>
      <c r="BIG85" s="41"/>
      <c r="BIH85" s="41"/>
      <c r="BII85" s="76"/>
      <c r="BIJ85" s="66"/>
      <c r="BIK85" s="66"/>
      <c r="BIL85" s="66"/>
      <c r="BIM85" s="66"/>
      <c r="BIN85" s="41"/>
      <c r="BIO85" s="139"/>
      <c r="BIP85" s="41"/>
      <c r="BIQ85" s="41"/>
      <c r="BIR85" s="41"/>
      <c r="BIS85" s="41"/>
      <c r="BIT85" s="41"/>
      <c r="BIU85" s="76"/>
      <c r="BIV85" s="41"/>
      <c r="BIW85" s="41"/>
      <c r="BIX85" s="41"/>
      <c r="BIY85" s="41"/>
      <c r="BIZ85" s="41"/>
      <c r="BJA85" s="139"/>
      <c r="BJB85" s="41"/>
      <c r="BJC85" s="41"/>
      <c r="BJD85" s="41"/>
      <c r="BJE85" s="41"/>
      <c r="BJF85" s="41"/>
      <c r="BJG85" s="76"/>
      <c r="BJH85" s="41"/>
      <c r="BJI85" s="41"/>
      <c r="BJJ85" s="41"/>
      <c r="BJK85" s="41"/>
      <c r="BJL85" s="41"/>
      <c r="BJM85" s="42"/>
      <c r="BJN85" s="40"/>
      <c r="BJO85" s="66"/>
      <c r="BJP85" s="66"/>
      <c r="BJQ85" s="66"/>
      <c r="BJR85" s="41"/>
      <c r="BJS85" s="134"/>
      <c r="BJT85" s="41"/>
      <c r="BJU85" s="41"/>
      <c r="BJV85" s="41"/>
      <c r="BJW85" s="41"/>
      <c r="BJX85" s="41"/>
      <c r="BJY85" s="139"/>
      <c r="BJZ85" s="41"/>
      <c r="BKA85" s="41"/>
      <c r="BKB85" s="41"/>
      <c r="BKC85" s="41"/>
      <c r="BKD85" s="41"/>
      <c r="BKE85" s="76"/>
      <c r="BKF85" s="41"/>
      <c r="BKG85" s="41"/>
      <c r="BKH85" s="41"/>
      <c r="BKI85" s="41"/>
      <c r="BKJ85" s="41"/>
      <c r="BKK85" s="139"/>
      <c r="BKL85" s="41"/>
      <c r="BKM85" s="41"/>
      <c r="BKN85" s="41"/>
      <c r="BKO85" s="41"/>
      <c r="BKP85" s="41"/>
      <c r="BKQ85" s="76"/>
      <c r="BKR85" s="66"/>
      <c r="BKS85" s="66"/>
      <c r="BKT85" s="66"/>
      <c r="BKU85" s="66"/>
      <c r="BKV85" s="41"/>
      <c r="BKW85" s="139"/>
      <c r="BKX85" s="41"/>
      <c r="BKY85" s="41"/>
      <c r="BKZ85" s="41"/>
      <c r="BLA85" s="41"/>
      <c r="BLB85" s="41"/>
      <c r="BLC85" s="76"/>
      <c r="BLD85" s="41"/>
      <c r="BLE85" s="41"/>
      <c r="BLF85" s="41"/>
      <c r="BLG85" s="41"/>
      <c r="BLH85" s="41"/>
      <c r="BLI85" s="139"/>
      <c r="BLJ85" s="41"/>
      <c r="BLK85" s="41"/>
      <c r="BLL85" s="41"/>
      <c r="BLM85" s="41"/>
      <c r="BLN85" s="41"/>
      <c r="BLO85" s="76"/>
      <c r="BLP85" s="41"/>
      <c r="BLQ85" s="41"/>
      <c r="BLR85" s="41"/>
      <c r="BLS85" s="41"/>
      <c r="BLT85" s="41"/>
      <c r="BLU85" s="42"/>
      <c r="BLV85" s="90"/>
    </row>
    <row r="86" spans="1:1686" ht="20.100000000000001" customHeight="1" x14ac:dyDescent="0.3">
      <c r="A86" s="100" t="s">
        <v>18</v>
      </c>
      <c r="B86" s="63"/>
      <c r="C86" s="206"/>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28"/>
      <c r="BHG86" s="67"/>
      <c r="BHH86" s="67"/>
      <c r="BHI86" s="67"/>
      <c r="BHJ86" s="29"/>
      <c r="BHK86" s="131"/>
      <c r="BHL86" s="29"/>
      <c r="BHM86" s="29"/>
      <c r="BHN86" s="29"/>
      <c r="BHO86" s="29"/>
      <c r="BHP86" s="29"/>
      <c r="BHQ86" s="136"/>
      <c r="BHR86" s="29"/>
      <c r="BHS86" s="29"/>
      <c r="BHT86" s="29"/>
      <c r="BHU86" s="29"/>
      <c r="BHV86" s="29"/>
      <c r="BHW86" s="73"/>
      <c r="BHX86" s="29"/>
      <c r="BHY86" s="29"/>
      <c r="BHZ86" s="29"/>
      <c r="BIA86" s="29"/>
      <c r="BIB86" s="29"/>
      <c r="BIC86" s="136"/>
      <c r="BID86" s="29"/>
      <c r="BIE86" s="29"/>
      <c r="BIF86" s="29"/>
      <c r="BIG86" s="29"/>
      <c r="BIH86" s="29"/>
      <c r="BII86" s="73"/>
      <c r="BIJ86" s="67"/>
      <c r="BIK86" s="67"/>
      <c r="BIL86" s="67"/>
      <c r="BIM86" s="67"/>
      <c r="BIN86" s="29"/>
      <c r="BIO86" s="136"/>
      <c r="BIP86" s="29"/>
      <c r="BIQ86" s="29"/>
      <c r="BIR86" s="29"/>
      <c r="BIS86" s="29"/>
      <c r="BIT86" s="29"/>
      <c r="BIU86" s="73"/>
      <c r="BIV86" s="29"/>
      <c r="BIW86" s="29"/>
      <c r="BIX86" s="29"/>
      <c r="BIY86" s="29"/>
      <c r="BIZ86" s="29"/>
      <c r="BJA86" s="136"/>
      <c r="BJB86" s="29"/>
      <c r="BJC86" s="29"/>
      <c r="BJD86" s="29"/>
      <c r="BJE86" s="29"/>
      <c r="BJF86" s="29"/>
      <c r="BJG86" s="73"/>
      <c r="BJH86" s="29"/>
      <c r="BJI86" s="29"/>
      <c r="BJJ86" s="29"/>
      <c r="BJK86" s="29"/>
      <c r="BJL86" s="29"/>
      <c r="BJM86" s="30"/>
      <c r="BJN86" s="28"/>
      <c r="BJO86" s="67"/>
      <c r="BJP86" s="67"/>
      <c r="BJQ86" s="67"/>
      <c r="BJR86" s="29"/>
      <c r="BJS86" s="131"/>
      <c r="BJT86" s="29"/>
      <c r="BJU86" s="29"/>
      <c r="BJV86" s="29"/>
      <c r="BJW86" s="29"/>
      <c r="BJX86" s="29"/>
      <c r="BJY86" s="136"/>
      <c r="BJZ86" s="29"/>
      <c r="BKA86" s="29"/>
      <c r="BKB86" s="29"/>
      <c r="BKC86" s="29"/>
      <c r="BKD86" s="29"/>
      <c r="BKE86" s="73"/>
      <c r="BKF86" s="29"/>
      <c r="BKG86" s="29"/>
      <c r="BKH86" s="29"/>
      <c r="BKI86" s="29"/>
      <c r="BKJ86" s="29"/>
      <c r="BKK86" s="136"/>
      <c r="BKL86" s="29"/>
      <c r="BKM86" s="29"/>
      <c r="BKN86" s="29"/>
      <c r="BKO86" s="29"/>
      <c r="BKP86" s="29"/>
      <c r="BKQ86" s="73"/>
      <c r="BKR86" s="67"/>
      <c r="BKS86" s="67"/>
      <c r="BKT86" s="67"/>
      <c r="BKU86" s="67"/>
      <c r="BKV86" s="29"/>
      <c r="BKW86" s="136"/>
      <c r="BKX86" s="29"/>
      <c r="BKY86" s="29"/>
      <c r="BKZ86" s="29"/>
      <c r="BLA86" s="29"/>
      <c r="BLB86" s="29"/>
      <c r="BLC86" s="73"/>
      <c r="BLD86" s="29"/>
      <c r="BLE86" s="29"/>
      <c r="BLF86" s="29"/>
      <c r="BLG86" s="29"/>
      <c r="BLH86" s="29"/>
      <c r="BLI86" s="136"/>
      <c r="BLJ86" s="29"/>
      <c r="BLK86" s="29"/>
      <c r="BLL86" s="29"/>
      <c r="BLM86" s="29"/>
      <c r="BLN86" s="29"/>
      <c r="BLO86" s="73"/>
      <c r="BLP86" s="29"/>
      <c r="BLQ86" s="29"/>
      <c r="BLR86" s="29"/>
      <c r="BLS86" s="29"/>
      <c r="BLT86" s="29"/>
      <c r="BLU86" s="30"/>
      <c r="BLV86" s="90"/>
    </row>
    <row r="87" spans="1:1686" ht="20.100000000000001" customHeight="1" x14ac:dyDescent="0.25">
      <c r="A87" s="100" t="s">
        <v>17</v>
      </c>
      <c r="B87" s="63"/>
      <c r="C87" s="205"/>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32"/>
      <c r="BHG87" s="64"/>
      <c r="BHH87" s="64"/>
      <c r="BHI87" s="64"/>
      <c r="BHJ87" s="33"/>
      <c r="BHK87" s="132"/>
      <c r="BHL87" s="33"/>
      <c r="BHM87" s="33"/>
      <c r="BHN87" s="33"/>
      <c r="BHO87" s="33"/>
      <c r="BHP87" s="33"/>
      <c r="BHQ87" s="137"/>
      <c r="BHR87" s="33"/>
      <c r="BHS87" s="33"/>
      <c r="BHT87" s="33"/>
      <c r="BHU87" s="33"/>
      <c r="BHV87" s="33"/>
      <c r="BHW87" s="74"/>
      <c r="BHX87" s="33"/>
      <c r="BHY87" s="33"/>
      <c r="BHZ87" s="33"/>
      <c r="BIA87" s="33"/>
      <c r="BIB87" s="33"/>
      <c r="BIC87" s="137"/>
      <c r="BID87" s="33"/>
      <c r="BIE87" s="33"/>
      <c r="BIF87" s="33"/>
      <c r="BIG87" s="33"/>
      <c r="BIH87" s="33"/>
      <c r="BII87" s="74"/>
      <c r="BIJ87" s="64"/>
      <c r="BIK87" s="64"/>
      <c r="BIL87" s="64"/>
      <c r="BIM87" s="64"/>
      <c r="BIN87" s="33"/>
      <c r="BIO87" s="137"/>
      <c r="BIP87" s="33"/>
      <c r="BIQ87" s="33"/>
      <c r="BIR87" s="33"/>
      <c r="BIS87" s="33"/>
      <c r="BIT87" s="33"/>
      <c r="BIU87" s="74"/>
      <c r="BIV87" s="33"/>
      <c r="BIW87" s="33"/>
      <c r="BIX87" s="33"/>
      <c r="BIY87" s="33"/>
      <c r="BIZ87" s="33"/>
      <c r="BJA87" s="137"/>
      <c r="BJB87" s="33"/>
      <c r="BJC87" s="33"/>
      <c r="BJD87" s="33"/>
      <c r="BJE87" s="33"/>
      <c r="BJF87" s="33"/>
      <c r="BJG87" s="74"/>
      <c r="BJH87" s="33"/>
      <c r="BJI87" s="33"/>
      <c r="BJJ87" s="33"/>
      <c r="BJK87" s="33"/>
      <c r="BJL87" s="33"/>
      <c r="BJM87" s="34"/>
      <c r="BJN87" s="32"/>
      <c r="BJO87" s="64"/>
      <c r="BJP87" s="64"/>
      <c r="BJQ87" s="64"/>
      <c r="BJR87" s="33"/>
      <c r="BJS87" s="132"/>
      <c r="BJT87" s="33"/>
      <c r="BJU87" s="33"/>
      <c r="BJV87" s="33"/>
      <c r="BJW87" s="33"/>
      <c r="BJX87" s="33"/>
      <c r="BJY87" s="137"/>
      <c r="BJZ87" s="33"/>
      <c r="BKA87" s="33"/>
      <c r="BKB87" s="33"/>
      <c r="BKC87" s="33"/>
      <c r="BKD87" s="33"/>
      <c r="BKE87" s="74"/>
      <c r="BKF87" s="33"/>
      <c r="BKG87" s="33"/>
      <c r="BKH87" s="33"/>
      <c r="BKI87" s="33"/>
      <c r="BKJ87" s="33"/>
      <c r="BKK87" s="137"/>
      <c r="BKL87" s="33"/>
      <c r="BKM87" s="33"/>
      <c r="BKN87" s="33"/>
      <c r="BKO87" s="33"/>
      <c r="BKP87" s="33"/>
      <c r="BKQ87" s="74"/>
      <c r="BKR87" s="64"/>
      <c r="BKS87" s="64"/>
      <c r="BKT87" s="64"/>
      <c r="BKU87" s="64"/>
      <c r="BKV87" s="33"/>
      <c r="BKW87" s="137"/>
      <c r="BKX87" s="33"/>
      <c r="BKY87" s="33"/>
      <c r="BKZ87" s="33"/>
      <c r="BLA87" s="33"/>
      <c r="BLB87" s="33"/>
      <c r="BLC87" s="74"/>
      <c r="BLD87" s="33"/>
      <c r="BLE87" s="33"/>
      <c r="BLF87" s="33"/>
      <c r="BLG87" s="33"/>
      <c r="BLH87" s="33"/>
      <c r="BLI87" s="137"/>
      <c r="BLJ87" s="33"/>
      <c r="BLK87" s="33"/>
      <c r="BLL87" s="33"/>
      <c r="BLM87" s="33"/>
      <c r="BLN87" s="33"/>
      <c r="BLO87" s="74"/>
      <c r="BLP87" s="33"/>
      <c r="BLQ87" s="33"/>
      <c r="BLR87" s="33"/>
      <c r="BLS87" s="33"/>
      <c r="BLT87" s="33"/>
      <c r="BLU87" s="34"/>
      <c r="BLV87" s="90"/>
    </row>
    <row r="88" spans="1:1686" ht="20.100000000000001" customHeight="1" x14ac:dyDescent="0.25">
      <c r="A88" s="100" t="s">
        <v>18</v>
      </c>
      <c r="B88" s="63"/>
      <c r="C88" s="207"/>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36"/>
      <c r="BHG88" s="65"/>
      <c r="BHH88" s="65"/>
      <c r="BHI88" s="65"/>
      <c r="BHJ88" s="37"/>
      <c r="BHK88" s="133"/>
      <c r="BHL88" s="37"/>
      <c r="BHM88" s="37"/>
      <c r="BHN88" s="37"/>
      <c r="BHO88" s="37"/>
      <c r="BHP88" s="37"/>
      <c r="BHQ88" s="138"/>
      <c r="BHR88" s="37"/>
      <c r="BHS88" s="37"/>
      <c r="BHT88" s="37"/>
      <c r="BHU88" s="37"/>
      <c r="BHV88" s="37"/>
      <c r="BHW88" s="75"/>
      <c r="BHX88" s="37"/>
      <c r="BHY88" s="37"/>
      <c r="BHZ88" s="37"/>
      <c r="BIA88" s="37"/>
      <c r="BIB88" s="37"/>
      <c r="BIC88" s="138"/>
      <c r="BID88" s="37"/>
      <c r="BIE88" s="37"/>
      <c r="BIF88" s="37"/>
      <c r="BIG88" s="37"/>
      <c r="BIH88" s="37"/>
      <c r="BII88" s="75"/>
      <c r="BIJ88" s="65"/>
      <c r="BIK88" s="65"/>
      <c r="BIL88" s="65"/>
      <c r="BIM88" s="65"/>
      <c r="BIN88" s="37"/>
      <c r="BIO88" s="138"/>
      <c r="BIP88" s="37"/>
      <c r="BIQ88" s="37"/>
      <c r="BIR88" s="37"/>
      <c r="BIS88" s="37"/>
      <c r="BIT88" s="37"/>
      <c r="BIU88" s="75"/>
      <c r="BIV88" s="37"/>
      <c r="BIW88" s="37"/>
      <c r="BIX88" s="37"/>
      <c r="BIY88" s="37"/>
      <c r="BIZ88" s="37"/>
      <c r="BJA88" s="138"/>
      <c r="BJB88" s="37"/>
      <c r="BJC88" s="37"/>
      <c r="BJD88" s="37"/>
      <c r="BJE88" s="37"/>
      <c r="BJF88" s="37"/>
      <c r="BJG88" s="75"/>
      <c r="BJH88" s="37"/>
      <c r="BJI88" s="37"/>
      <c r="BJJ88" s="37"/>
      <c r="BJK88" s="37"/>
      <c r="BJL88" s="37"/>
      <c r="BJM88" s="38"/>
      <c r="BJN88" s="36"/>
      <c r="BJO88" s="65"/>
      <c r="BJP88" s="65"/>
      <c r="BJQ88" s="65"/>
      <c r="BJR88" s="37"/>
      <c r="BJS88" s="133"/>
      <c r="BJT88" s="37"/>
      <c r="BJU88" s="37"/>
      <c r="BJV88" s="37"/>
      <c r="BJW88" s="37"/>
      <c r="BJX88" s="37"/>
      <c r="BJY88" s="138"/>
      <c r="BJZ88" s="37"/>
      <c r="BKA88" s="37"/>
      <c r="BKB88" s="37"/>
      <c r="BKC88" s="37"/>
      <c r="BKD88" s="37"/>
      <c r="BKE88" s="75"/>
      <c r="BKF88" s="37"/>
      <c r="BKG88" s="37"/>
      <c r="BKH88" s="37"/>
      <c r="BKI88" s="37"/>
      <c r="BKJ88" s="37"/>
      <c r="BKK88" s="138"/>
      <c r="BKL88" s="37"/>
      <c r="BKM88" s="37"/>
      <c r="BKN88" s="37"/>
      <c r="BKO88" s="37"/>
      <c r="BKP88" s="37"/>
      <c r="BKQ88" s="75"/>
      <c r="BKR88" s="65"/>
      <c r="BKS88" s="65"/>
      <c r="BKT88" s="65"/>
      <c r="BKU88" s="65"/>
      <c r="BKV88" s="37"/>
      <c r="BKW88" s="138"/>
      <c r="BKX88" s="37"/>
      <c r="BKY88" s="37"/>
      <c r="BKZ88" s="37"/>
      <c r="BLA88" s="37"/>
      <c r="BLB88" s="37"/>
      <c r="BLC88" s="75"/>
      <c r="BLD88" s="37"/>
      <c r="BLE88" s="37"/>
      <c r="BLF88" s="37"/>
      <c r="BLG88" s="37"/>
      <c r="BLH88" s="37"/>
      <c r="BLI88" s="138"/>
      <c r="BLJ88" s="37"/>
      <c r="BLK88" s="37"/>
      <c r="BLL88" s="37"/>
      <c r="BLM88" s="37"/>
      <c r="BLN88" s="37"/>
      <c r="BLO88" s="75"/>
      <c r="BLP88" s="37"/>
      <c r="BLQ88" s="37"/>
      <c r="BLR88" s="37"/>
      <c r="BLS88" s="37"/>
      <c r="BLT88" s="37"/>
      <c r="BLU88" s="38"/>
      <c r="BLV88" s="90"/>
    </row>
    <row r="89" spans="1:1686" ht="20.100000000000001" customHeight="1" x14ac:dyDescent="0.25">
      <c r="A89" s="100" t="s">
        <v>17</v>
      </c>
      <c r="B89" s="63"/>
      <c r="C89" s="205"/>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32"/>
      <c r="BHG89" s="64"/>
      <c r="BHH89" s="64"/>
      <c r="BHI89" s="64"/>
      <c r="BHJ89" s="33"/>
      <c r="BHK89" s="132"/>
      <c r="BHL89" s="33"/>
      <c r="BHM89" s="33"/>
      <c r="BHN89" s="33"/>
      <c r="BHO89" s="33"/>
      <c r="BHP89" s="33"/>
      <c r="BHQ89" s="137"/>
      <c r="BHR89" s="33"/>
      <c r="BHS89" s="33"/>
      <c r="BHT89" s="33"/>
      <c r="BHU89" s="33"/>
      <c r="BHV89" s="33"/>
      <c r="BHW89" s="74"/>
      <c r="BHX89" s="33"/>
      <c r="BHY89" s="33"/>
      <c r="BHZ89" s="33"/>
      <c r="BIA89" s="33"/>
      <c r="BIB89" s="33"/>
      <c r="BIC89" s="137"/>
      <c r="BID89" s="33"/>
      <c r="BIE89" s="33"/>
      <c r="BIF89" s="33"/>
      <c r="BIG89" s="33"/>
      <c r="BIH89" s="33"/>
      <c r="BII89" s="74"/>
      <c r="BIJ89" s="64"/>
      <c r="BIK89" s="64"/>
      <c r="BIL89" s="64"/>
      <c r="BIM89" s="64"/>
      <c r="BIN89" s="33"/>
      <c r="BIO89" s="137"/>
      <c r="BIP89" s="33"/>
      <c r="BIQ89" s="33"/>
      <c r="BIR89" s="33"/>
      <c r="BIS89" s="33"/>
      <c r="BIT89" s="33"/>
      <c r="BIU89" s="74"/>
      <c r="BIV89" s="33"/>
      <c r="BIW89" s="33"/>
      <c r="BIX89" s="33"/>
      <c r="BIY89" s="33"/>
      <c r="BIZ89" s="33"/>
      <c r="BJA89" s="137"/>
      <c r="BJB89" s="33"/>
      <c r="BJC89" s="33"/>
      <c r="BJD89" s="33"/>
      <c r="BJE89" s="33"/>
      <c r="BJF89" s="33"/>
      <c r="BJG89" s="74"/>
      <c r="BJH89" s="33"/>
      <c r="BJI89" s="33"/>
      <c r="BJJ89" s="33"/>
      <c r="BJK89" s="33"/>
      <c r="BJL89" s="33"/>
      <c r="BJM89" s="34"/>
      <c r="BJN89" s="32"/>
      <c r="BJO89" s="64"/>
      <c r="BJP89" s="64"/>
      <c r="BJQ89" s="64"/>
      <c r="BJR89" s="33"/>
      <c r="BJS89" s="132"/>
      <c r="BJT89" s="33"/>
      <c r="BJU89" s="33"/>
      <c r="BJV89" s="33"/>
      <c r="BJW89" s="33"/>
      <c r="BJX89" s="33"/>
      <c r="BJY89" s="137"/>
      <c r="BJZ89" s="33"/>
      <c r="BKA89" s="33"/>
      <c r="BKB89" s="33"/>
      <c r="BKC89" s="33"/>
      <c r="BKD89" s="33"/>
      <c r="BKE89" s="74"/>
      <c r="BKF89" s="33"/>
      <c r="BKG89" s="33"/>
      <c r="BKH89" s="33"/>
      <c r="BKI89" s="33"/>
      <c r="BKJ89" s="33"/>
      <c r="BKK89" s="137"/>
      <c r="BKL89" s="33"/>
      <c r="BKM89" s="33"/>
      <c r="BKN89" s="33"/>
      <c r="BKO89" s="33"/>
      <c r="BKP89" s="33"/>
      <c r="BKQ89" s="74"/>
      <c r="BKR89" s="64"/>
      <c r="BKS89" s="64"/>
      <c r="BKT89" s="64"/>
      <c r="BKU89" s="64"/>
      <c r="BKV89" s="33"/>
      <c r="BKW89" s="137"/>
      <c r="BKX89" s="33"/>
      <c r="BKY89" s="33"/>
      <c r="BKZ89" s="33"/>
      <c r="BLA89" s="33"/>
      <c r="BLB89" s="33"/>
      <c r="BLC89" s="74"/>
      <c r="BLD89" s="33"/>
      <c r="BLE89" s="33"/>
      <c r="BLF89" s="33"/>
      <c r="BLG89" s="33"/>
      <c r="BLH89" s="33"/>
      <c r="BLI89" s="137"/>
      <c r="BLJ89" s="33"/>
      <c r="BLK89" s="33"/>
      <c r="BLL89" s="33"/>
      <c r="BLM89" s="33"/>
      <c r="BLN89" s="33"/>
      <c r="BLO89" s="74"/>
      <c r="BLP89" s="33"/>
      <c r="BLQ89" s="33"/>
      <c r="BLR89" s="33"/>
      <c r="BLS89" s="33"/>
      <c r="BLT89" s="33"/>
      <c r="BLU89" s="34"/>
      <c r="BLV89" s="90"/>
    </row>
    <row r="90" spans="1:1686" ht="20.100000000000001" customHeight="1" x14ac:dyDescent="0.3">
      <c r="A90" s="100" t="s">
        <v>18</v>
      </c>
      <c r="B90" s="63"/>
      <c r="C90" s="206"/>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36"/>
      <c r="BHG90" s="65"/>
      <c r="BHH90" s="65"/>
      <c r="BHI90" s="65"/>
      <c r="BHJ90" s="37"/>
      <c r="BHK90" s="133"/>
      <c r="BHL90" s="37"/>
      <c r="BHM90" s="37"/>
      <c r="BHN90" s="37"/>
      <c r="BHO90" s="37"/>
      <c r="BHP90" s="37"/>
      <c r="BHQ90" s="138"/>
      <c r="BHR90" s="37"/>
      <c r="BHS90" s="37"/>
      <c r="BHT90" s="37"/>
      <c r="BHU90" s="37"/>
      <c r="BHV90" s="37"/>
      <c r="BHW90" s="75"/>
      <c r="BHX90" s="37"/>
      <c r="BHY90" s="37"/>
      <c r="BHZ90" s="37"/>
      <c r="BIA90" s="37"/>
      <c r="BIB90" s="37"/>
      <c r="BIC90" s="138"/>
      <c r="BID90" s="37"/>
      <c r="BIE90" s="37"/>
      <c r="BIF90" s="37"/>
      <c r="BIG90" s="37"/>
      <c r="BIH90" s="37"/>
      <c r="BII90" s="75"/>
      <c r="BIJ90" s="65"/>
      <c r="BIK90" s="65"/>
      <c r="BIL90" s="65"/>
      <c r="BIM90" s="65"/>
      <c r="BIN90" s="37"/>
      <c r="BIO90" s="138"/>
      <c r="BIP90" s="37"/>
      <c r="BIQ90" s="37"/>
      <c r="BIR90" s="37"/>
      <c r="BIS90" s="37"/>
      <c r="BIT90" s="37"/>
      <c r="BIU90" s="75"/>
      <c r="BIV90" s="37"/>
      <c r="BIW90" s="37"/>
      <c r="BIX90" s="37"/>
      <c r="BIY90" s="37"/>
      <c r="BIZ90" s="37"/>
      <c r="BJA90" s="138"/>
      <c r="BJB90" s="37"/>
      <c r="BJC90" s="37"/>
      <c r="BJD90" s="37"/>
      <c r="BJE90" s="37"/>
      <c r="BJF90" s="37"/>
      <c r="BJG90" s="75"/>
      <c r="BJH90" s="37"/>
      <c r="BJI90" s="37"/>
      <c r="BJJ90" s="37"/>
      <c r="BJK90" s="37"/>
      <c r="BJL90" s="37"/>
      <c r="BJM90" s="38"/>
      <c r="BJN90" s="36"/>
      <c r="BJO90" s="65"/>
      <c r="BJP90" s="65"/>
      <c r="BJQ90" s="65"/>
      <c r="BJR90" s="37"/>
      <c r="BJS90" s="133"/>
      <c r="BJT90" s="37"/>
      <c r="BJU90" s="37"/>
      <c r="BJV90" s="37"/>
      <c r="BJW90" s="37"/>
      <c r="BJX90" s="37"/>
      <c r="BJY90" s="138"/>
      <c r="BJZ90" s="37"/>
      <c r="BKA90" s="37"/>
      <c r="BKB90" s="37"/>
      <c r="BKC90" s="37"/>
      <c r="BKD90" s="37"/>
      <c r="BKE90" s="75"/>
      <c r="BKF90" s="37"/>
      <c r="BKG90" s="37"/>
      <c r="BKH90" s="37"/>
      <c r="BKI90" s="37"/>
      <c r="BKJ90" s="37"/>
      <c r="BKK90" s="138"/>
      <c r="BKL90" s="37"/>
      <c r="BKM90" s="37"/>
      <c r="BKN90" s="37"/>
      <c r="BKO90" s="37"/>
      <c r="BKP90" s="37"/>
      <c r="BKQ90" s="75"/>
      <c r="BKR90" s="65"/>
      <c r="BKS90" s="65"/>
      <c r="BKT90" s="65"/>
      <c r="BKU90" s="65"/>
      <c r="BKV90" s="37"/>
      <c r="BKW90" s="138"/>
      <c r="BKX90" s="37"/>
      <c r="BKY90" s="37"/>
      <c r="BKZ90" s="37"/>
      <c r="BLA90" s="37"/>
      <c r="BLB90" s="37"/>
      <c r="BLC90" s="75"/>
      <c r="BLD90" s="37"/>
      <c r="BLE90" s="37"/>
      <c r="BLF90" s="37"/>
      <c r="BLG90" s="37"/>
      <c r="BLH90" s="37"/>
      <c r="BLI90" s="138"/>
      <c r="BLJ90" s="37"/>
      <c r="BLK90" s="37"/>
      <c r="BLL90" s="37"/>
      <c r="BLM90" s="37"/>
      <c r="BLN90" s="37"/>
      <c r="BLO90" s="75"/>
      <c r="BLP90" s="37"/>
      <c r="BLQ90" s="37"/>
      <c r="BLR90" s="37"/>
      <c r="BLS90" s="37"/>
      <c r="BLT90" s="37"/>
      <c r="BLU90" s="38"/>
      <c r="BLV90" s="90"/>
    </row>
    <row r="91" spans="1:1686" ht="20.100000000000001" customHeight="1" x14ac:dyDescent="0.25">
      <c r="A91" s="100" t="s">
        <v>17</v>
      </c>
      <c r="B91" s="63"/>
      <c r="C91" s="205"/>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40"/>
      <c r="BHG91" s="66"/>
      <c r="BHH91" s="66"/>
      <c r="BHI91" s="66"/>
      <c r="BHJ91" s="41"/>
      <c r="BHK91" s="134"/>
      <c r="BHL91" s="41"/>
      <c r="BHM91" s="41"/>
      <c r="BHN91" s="41"/>
      <c r="BHO91" s="41"/>
      <c r="BHP91" s="41"/>
      <c r="BHQ91" s="139"/>
      <c r="BHR91" s="41"/>
      <c r="BHS91" s="41"/>
      <c r="BHT91" s="41"/>
      <c r="BHU91" s="41"/>
      <c r="BHV91" s="41"/>
      <c r="BHW91" s="76"/>
      <c r="BHX91" s="41"/>
      <c r="BHY91" s="41"/>
      <c r="BHZ91" s="41"/>
      <c r="BIA91" s="41"/>
      <c r="BIB91" s="41"/>
      <c r="BIC91" s="139"/>
      <c r="BID91" s="41"/>
      <c r="BIE91" s="41"/>
      <c r="BIF91" s="41"/>
      <c r="BIG91" s="41"/>
      <c r="BIH91" s="41"/>
      <c r="BII91" s="76"/>
      <c r="BIJ91" s="66"/>
      <c r="BIK91" s="66"/>
      <c r="BIL91" s="66"/>
      <c r="BIM91" s="66"/>
      <c r="BIN91" s="41"/>
      <c r="BIO91" s="139"/>
      <c r="BIP91" s="41"/>
      <c r="BIQ91" s="41"/>
      <c r="BIR91" s="41"/>
      <c r="BIS91" s="41"/>
      <c r="BIT91" s="41"/>
      <c r="BIU91" s="76"/>
      <c r="BIV91" s="41"/>
      <c r="BIW91" s="41"/>
      <c r="BIX91" s="41"/>
      <c r="BIY91" s="41"/>
      <c r="BIZ91" s="41"/>
      <c r="BJA91" s="139"/>
      <c r="BJB91" s="41"/>
      <c r="BJC91" s="41"/>
      <c r="BJD91" s="41"/>
      <c r="BJE91" s="41"/>
      <c r="BJF91" s="41"/>
      <c r="BJG91" s="76"/>
      <c r="BJH91" s="41"/>
      <c r="BJI91" s="41"/>
      <c r="BJJ91" s="41"/>
      <c r="BJK91" s="41"/>
      <c r="BJL91" s="41"/>
      <c r="BJM91" s="42"/>
      <c r="BJN91" s="40"/>
      <c r="BJO91" s="66"/>
      <c r="BJP91" s="66"/>
      <c r="BJQ91" s="66"/>
      <c r="BJR91" s="41"/>
      <c r="BJS91" s="134"/>
      <c r="BJT91" s="41"/>
      <c r="BJU91" s="41"/>
      <c r="BJV91" s="41"/>
      <c r="BJW91" s="41"/>
      <c r="BJX91" s="41"/>
      <c r="BJY91" s="139"/>
      <c r="BJZ91" s="41"/>
      <c r="BKA91" s="41"/>
      <c r="BKB91" s="41"/>
      <c r="BKC91" s="41"/>
      <c r="BKD91" s="41"/>
      <c r="BKE91" s="76"/>
      <c r="BKF91" s="41"/>
      <c r="BKG91" s="41"/>
      <c r="BKH91" s="41"/>
      <c r="BKI91" s="41"/>
      <c r="BKJ91" s="41"/>
      <c r="BKK91" s="139"/>
      <c r="BKL91" s="41"/>
      <c r="BKM91" s="41"/>
      <c r="BKN91" s="41"/>
      <c r="BKO91" s="41"/>
      <c r="BKP91" s="41"/>
      <c r="BKQ91" s="76"/>
      <c r="BKR91" s="66"/>
      <c r="BKS91" s="66"/>
      <c r="BKT91" s="66"/>
      <c r="BKU91" s="66"/>
      <c r="BKV91" s="41"/>
      <c r="BKW91" s="139"/>
      <c r="BKX91" s="41"/>
      <c r="BKY91" s="41"/>
      <c r="BKZ91" s="41"/>
      <c r="BLA91" s="41"/>
      <c r="BLB91" s="41"/>
      <c r="BLC91" s="76"/>
      <c r="BLD91" s="41"/>
      <c r="BLE91" s="41"/>
      <c r="BLF91" s="41"/>
      <c r="BLG91" s="41"/>
      <c r="BLH91" s="41"/>
      <c r="BLI91" s="139"/>
      <c r="BLJ91" s="41"/>
      <c r="BLK91" s="41"/>
      <c r="BLL91" s="41"/>
      <c r="BLM91" s="41"/>
      <c r="BLN91" s="41"/>
      <c r="BLO91" s="76"/>
      <c r="BLP91" s="41"/>
      <c r="BLQ91" s="41"/>
      <c r="BLR91" s="41"/>
      <c r="BLS91" s="41"/>
      <c r="BLT91" s="41"/>
      <c r="BLU91" s="42"/>
      <c r="BLV91" s="90"/>
    </row>
    <row r="92" spans="1:1686" ht="20.100000000000001" customHeight="1" x14ac:dyDescent="0.3">
      <c r="A92" s="100" t="s">
        <v>18</v>
      </c>
      <c r="B92" s="63"/>
      <c r="C92" s="206"/>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28"/>
      <c r="BHG92" s="67"/>
      <c r="BHH92" s="67"/>
      <c r="BHI92" s="67"/>
      <c r="BHJ92" s="29"/>
      <c r="BHK92" s="133"/>
      <c r="BHL92" s="29"/>
      <c r="BHM92" s="29"/>
      <c r="BHN92" s="29"/>
      <c r="BHO92" s="29"/>
      <c r="BHP92" s="29"/>
      <c r="BHQ92" s="138"/>
      <c r="BHR92" s="29"/>
      <c r="BHS92" s="29"/>
      <c r="BHT92" s="29"/>
      <c r="BHU92" s="29"/>
      <c r="BHV92" s="29"/>
      <c r="BHW92" s="75"/>
      <c r="BHX92" s="29"/>
      <c r="BHY92" s="29"/>
      <c r="BHZ92" s="29"/>
      <c r="BIA92" s="29"/>
      <c r="BIB92" s="29"/>
      <c r="BIC92" s="138"/>
      <c r="BID92" s="29"/>
      <c r="BIE92" s="29"/>
      <c r="BIF92" s="29"/>
      <c r="BIG92" s="29"/>
      <c r="BIH92" s="29"/>
      <c r="BII92" s="75"/>
      <c r="BIJ92" s="67"/>
      <c r="BIK92" s="67"/>
      <c r="BIL92" s="67"/>
      <c r="BIM92" s="67"/>
      <c r="BIN92" s="29"/>
      <c r="BIO92" s="138"/>
      <c r="BIP92" s="29"/>
      <c r="BIQ92" s="29"/>
      <c r="BIR92" s="29"/>
      <c r="BIS92" s="29"/>
      <c r="BIT92" s="29"/>
      <c r="BIU92" s="75"/>
      <c r="BIV92" s="29"/>
      <c r="BIW92" s="29"/>
      <c r="BIX92" s="29"/>
      <c r="BIY92" s="29"/>
      <c r="BIZ92" s="29"/>
      <c r="BJA92" s="138"/>
      <c r="BJB92" s="29"/>
      <c r="BJC92" s="29"/>
      <c r="BJD92" s="29"/>
      <c r="BJE92" s="29"/>
      <c r="BJF92" s="29"/>
      <c r="BJG92" s="75"/>
      <c r="BJH92" s="29"/>
      <c r="BJI92" s="29"/>
      <c r="BJJ92" s="29"/>
      <c r="BJK92" s="29"/>
      <c r="BJL92" s="29"/>
      <c r="BJM92" s="30"/>
      <c r="BJN92" s="28"/>
      <c r="BJO92" s="67"/>
      <c r="BJP92" s="67"/>
      <c r="BJQ92" s="67"/>
      <c r="BJR92" s="29"/>
      <c r="BJS92" s="133"/>
      <c r="BJT92" s="29"/>
      <c r="BJU92" s="29"/>
      <c r="BJV92" s="29"/>
      <c r="BJW92" s="29"/>
      <c r="BJX92" s="29"/>
      <c r="BJY92" s="138"/>
      <c r="BJZ92" s="29"/>
      <c r="BKA92" s="29"/>
      <c r="BKB92" s="29"/>
      <c r="BKC92" s="29"/>
      <c r="BKD92" s="29"/>
      <c r="BKE92" s="75"/>
      <c r="BKF92" s="29"/>
      <c r="BKG92" s="29"/>
      <c r="BKH92" s="29"/>
      <c r="BKI92" s="29"/>
      <c r="BKJ92" s="29"/>
      <c r="BKK92" s="138"/>
      <c r="BKL92" s="29"/>
      <c r="BKM92" s="29"/>
      <c r="BKN92" s="29"/>
      <c r="BKO92" s="29"/>
      <c r="BKP92" s="29"/>
      <c r="BKQ92" s="75"/>
      <c r="BKR92" s="67"/>
      <c r="BKS92" s="67"/>
      <c r="BKT92" s="67"/>
      <c r="BKU92" s="67"/>
      <c r="BKV92" s="29"/>
      <c r="BKW92" s="138"/>
      <c r="BKX92" s="29"/>
      <c r="BKY92" s="29"/>
      <c r="BKZ92" s="29"/>
      <c r="BLA92" s="29"/>
      <c r="BLB92" s="29"/>
      <c r="BLC92" s="75"/>
      <c r="BLD92" s="29"/>
      <c r="BLE92" s="29"/>
      <c r="BLF92" s="29"/>
      <c r="BLG92" s="29"/>
      <c r="BLH92" s="29"/>
      <c r="BLI92" s="138"/>
      <c r="BLJ92" s="29"/>
      <c r="BLK92" s="29"/>
      <c r="BLL92" s="29"/>
      <c r="BLM92" s="29"/>
      <c r="BLN92" s="29"/>
      <c r="BLO92" s="75"/>
      <c r="BLP92" s="29"/>
      <c r="BLQ92" s="29"/>
      <c r="BLR92" s="29"/>
      <c r="BLS92" s="29"/>
      <c r="BLT92" s="29"/>
      <c r="BLU92" s="30"/>
      <c r="BLV92" s="90"/>
    </row>
    <row r="93" spans="1:1686" ht="20.100000000000001" customHeight="1" x14ac:dyDescent="0.25">
      <c r="A93" s="100" t="s">
        <v>17</v>
      </c>
      <c r="B93" s="63"/>
      <c r="C93" s="205"/>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32"/>
      <c r="BHG93" s="64"/>
      <c r="BHH93" s="64"/>
      <c r="BHI93" s="64"/>
      <c r="BHJ93" s="33"/>
      <c r="BHK93" s="132"/>
      <c r="BHL93" s="33"/>
      <c r="BHM93" s="33"/>
      <c r="BHN93" s="33"/>
      <c r="BHO93" s="33"/>
      <c r="BHP93" s="33"/>
      <c r="BHQ93" s="137"/>
      <c r="BHR93" s="33"/>
      <c r="BHS93" s="33"/>
      <c r="BHT93" s="33"/>
      <c r="BHU93" s="33"/>
      <c r="BHV93" s="33"/>
      <c r="BHW93" s="74"/>
      <c r="BHX93" s="33"/>
      <c r="BHY93" s="33"/>
      <c r="BHZ93" s="33"/>
      <c r="BIA93" s="33"/>
      <c r="BIB93" s="33"/>
      <c r="BIC93" s="137"/>
      <c r="BID93" s="33"/>
      <c r="BIE93" s="33"/>
      <c r="BIF93" s="33"/>
      <c r="BIG93" s="33"/>
      <c r="BIH93" s="33"/>
      <c r="BII93" s="74"/>
      <c r="BIJ93" s="64"/>
      <c r="BIK93" s="64"/>
      <c r="BIL93" s="64"/>
      <c r="BIM93" s="64"/>
      <c r="BIN93" s="33"/>
      <c r="BIO93" s="137"/>
      <c r="BIP93" s="33"/>
      <c r="BIQ93" s="33"/>
      <c r="BIR93" s="33"/>
      <c r="BIS93" s="33"/>
      <c r="BIT93" s="33"/>
      <c r="BIU93" s="74"/>
      <c r="BIV93" s="33"/>
      <c r="BIW93" s="33"/>
      <c r="BIX93" s="33"/>
      <c r="BIY93" s="33"/>
      <c r="BIZ93" s="33"/>
      <c r="BJA93" s="137"/>
      <c r="BJB93" s="33"/>
      <c r="BJC93" s="33"/>
      <c r="BJD93" s="33"/>
      <c r="BJE93" s="33"/>
      <c r="BJF93" s="33"/>
      <c r="BJG93" s="74"/>
      <c r="BJH93" s="33"/>
      <c r="BJI93" s="33"/>
      <c r="BJJ93" s="33"/>
      <c r="BJK93" s="33"/>
      <c r="BJL93" s="33"/>
      <c r="BJM93" s="34"/>
      <c r="BJN93" s="32"/>
      <c r="BJO93" s="64"/>
      <c r="BJP93" s="64"/>
      <c r="BJQ93" s="64"/>
      <c r="BJR93" s="33"/>
      <c r="BJS93" s="132"/>
      <c r="BJT93" s="33"/>
      <c r="BJU93" s="33"/>
      <c r="BJV93" s="33"/>
      <c r="BJW93" s="33"/>
      <c r="BJX93" s="33"/>
      <c r="BJY93" s="137"/>
      <c r="BJZ93" s="33"/>
      <c r="BKA93" s="33"/>
      <c r="BKB93" s="33"/>
      <c r="BKC93" s="33"/>
      <c r="BKD93" s="33"/>
      <c r="BKE93" s="74"/>
      <c r="BKF93" s="33"/>
      <c r="BKG93" s="33"/>
      <c r="BKH93" s="33"/>
      <c r="BKI93" s="33"/>
      <c r="BKJ93" s="33"/>
      <c r="BKK93" s="137"/>
      <c r="BKL93" s="33"/>
      <c r="BKM93" s="33"/>
      <c r="BKN93" s="33"/>
      <c r="BKO93" s="33"/>
      <c r="BKP93" s="33"/>
      <c r="BKQ93" s="74"/>
      <c r="BKR93" s="64"/>
      <c r="BKS93" s="64"/>
      <c r="BKT93" s="64"/>
      <c r="BKU93" s="64"/>
      <c r="BKV93" s="33"/>
      <c r="BKW93" s="137"/>
      <c r="BKX93" s="33"/>
      <c r="BKY93" s="33"/>
      <c r="BKZ93" s="33"/>
      <c r="BLA93" s="33"/>
      <c r="BLB93" s="33"/>
      <c r="BLC93" s="74"/>
      <c r="BLD93" s="33"/>
      <c r="BLE93" s="33"/>
      <c r="BLF93" s="33"/>
      <c r="BLG93" s="33"/>
      <c r="BLH93" s="33"/>
      <c r="BLI93" s="137"/>
      <c r="BLJ93" s="33"/>
      <c r="BLK93" s="33"/>
      <c r="BLL93" s="33"/>
      <c r="BLM93" s="33"/>
      <c r="BLN93" s="33"/>
      <c r="BLO93" s="74"/>
      <c r="BLP93" s="33"/>
      <c r="BLQ93" s="33"/>
      <c r="BLR93" s="33"/>
      <c r="BLS93" s="33"/>
      <c r="BLT93" s="33"/>
      <c r="BLU93" s="34"/>
      <c r="BLV93" s="90"/>
    </row>
    <row r="94" spans="1:1686" ht="20.100000000000001" customHeight="1" x14ac:dyDescent="0.25">
      <c r="A94" s="100" t="s">
        <v>18</v>
      </c>
      <c r="B94" s="63"/>
      <c r="C94" s="207"/>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36"/>
      <c r="BHG94" s="65"/>
      <c r="BHH94" s="65"/>
      <c r="BHI94" s="65"/>
      <c r="BHJ94" s="37"/>
      <c r="BHK94" s="133"/>
      <c r="BHL94" s="37"/>
      <c r="BHM94" s="37"/>
      <c r="BHN94" s="37"/>
      <c r="BHO94" s="37"/>
      <c r="BHP94" s="37"/>
      <c r="BHQ94" s="138"/>
      <c r="BHR94" s="37"/>
      <c r="BHS94" s="37"/>
      <c r="BHT94" s="37"/>
      <c r="BHU94" s="37"/>
      <c r="BHV94" s="37"/>
      <c r="BHW94" s="75"/>
      <c r="BHX94" s="37"/>
      <c r="BHY94" s="37"/>
      <c r="BHZ94" s="37"/>
      <c r="BIA94" s="37"/>
      <c r="BIB94" s="37"/>
      <c r="BIC94" s="138"/>
      <c r="BID94" s="37"/>
      <c r="BIE94" s="37"/>
      <c r="BIF94" s="37"/>
      <c r="BIG94" s="37"/>
      <c r="BIH94" s="37"/>
      <c r="BII94" s="75"/>
      <c r="BIJ94" s="65"/>
      <c r="BIK94" s="65"/>
      <c r="BIL94" s="65"/>
      <c r="BIM94" s="65"/>
      <c r="BIN94" s="37"/>
      <c r="BIO94" s="138"/>
      <c r="BIP94" s="37"/>
      <c r="BIQ94" s="37"/>
      <c r="BIR94" s="37"/>
      <c r="BIS94" s="37"/>
      <c r="BIT94" s="37"/>
      <c r="BIU94" s="75"/>
      <c r="BIV94" s="37"/>
      <c r="BIW94" s="37"/>
      <c r="BIX94" s="37"/>
      <c r="BIY94" s="37"/>
      <c r="BIZ94" s="37"/>
      <c r="BJA94" s="138"/>
      <c r="BJB94" s="37"/>
      <c r="BJC94" s="37"/>
      <c r="BJD94" s="37"/>
      <c r="BJE94" s="37"/>
      <c r="BJF94" s="37"/>
      <c r="BJG94" s="75"/>
      <c r="BJH94" s="37"/>
      <c r="BJI94" s="37"/>
      <c r="BJJ94" s="37"/>
      <c r="BJK94" s="37"/>
      <c r="BJL94" s="37"/>
      <c r="BJM94" s="38"/>
      <c r="BJN94" s="36"/>
      <c r="BJO94" s="65"/>
      <c r="BJP94" s="65"/>
      <c r="BJQ94" s="65"/>
      <c r="BJR94" s="37"/>
      <c r="BJS94" s="133"/>
      <c r="BJT94" s="37"/>
      <c r="BJU94" s="37"/>
      <c r="BJV94" s="37"/>
      <c r="BJW94" s="37"/>
      <c r="BJX94" s="37"/>
      <c r="BJY94" s="138"/>
      <c r="BJZ94" s="37"/>
      <c r="BKA94" s="37"/>
      <c r="BKB94" s="37"/>
      <c r="BKC94" s="37"/>
      <c r="BKD94" s="37"/>
      <c r="BKE94" s="75"/>
      <c r="BKF94" s="37"/>
      <c r="BKG94" s="37"/>
      <c r="BKH94" s="37"/>
      <c r="BKI94" s="37"/>
      <c r="BKJ94" s="37"/>
      <c r="BKK94" s="138"/>
      <c r="BKL94" s="37"/>
      <c r="BKM94" s="37"/>
      <c r="BKN94" s="37"/>
      <c r="BKO94" s="37"/>
      <c r="BKP94" s="37"/>
      <c r="BKQ94" s="75"/>
      <c r="BKR94" s="65"/>
      <c r="BKS94" s="65"/>
      <c r="BKT94" s="65"/>
      <c r="BKU94" s="65"/>
      <c r="BKV94" s="37"/>
      <c r="BKW94" s="138"/>
      <c r="BKX94" s="37"/>
      <c r="BKY94" s="37"/>
      <c r="BKZ94" s="37"/>
      <c r="BLA94" s="37"/>
      <c r="BLB94" s="37"/>
      <c r="BLC94" s="75"/>
      <c r="BLD94" s="37"/>
      <c r="BLE94" s="37"/>
      <c r="BLF94" s="37"/>
      <c r="BLG94" s="37"/>
      <c r="BLH94" s="37"/>
      <c r="BLI94" s="138"/>
      <c r="BLJ94" s="37"/>
      <c r="BLK94" s="37"/>
      <c r="BLL94" s="37"/>
      <c r="BLM94" s="37"/>
      <c r="BLN94" s="37"/>
      <c r="BLO94" s="75"/>
      <c r="BLP94" s="37"/>
      <c r="BLQ94" s="37"/>
      <c r="BLR94" s="37"/>
      <c r="BLS94" s="37"/>
      <c r="BLT94" s="37"/>
      <c r="BLU94" s="38"/>
      <c r="BLV94" s="90"/>
    </row>
    <row r="95" spans="1:1686" ht="20.100000000000001" customHeight="1" x14ac:dyDescent="0.25">
      <c r="B95" s="96"/>
      <c r="C95" s="197" t="s">
        <v>5</v>
      </c>
      <c r="D95" s="198"/>
      <c r="E95" s="117">
        <f>SUM(E15,E17,E19,E21,E23,E25,E27,E29,E31,E33,E35,E37,E39,E41,E43,E45,E47,E49,E51,E53,E55,E57,E59,E61,E63,E65,E67,E69,E71,E73,E75,E77,E79,E81,E83,E85,E87,E89,E91,E93)</f>
        <v>1068</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70"/>
      <c r="BHG95" s="69"/>
      <c r="BHH95" s="69"/>
      <c r="BHI95" s="69"/>
      <c r="BHJ95" s="69"/>
      <c r="BHK95" s="69"/>
      <c r="BHL95" s="69"/>
      <c r="BHM95" s="69"/>
      <c r="BHN95" s="69"/>
      <c r="BHO95" s="69"/>
      <c r="BHP95" s="69"/>
      <c r="BHQ95" s="69"/>
      <c r="BHR95" s="69"/>
      <c r="BHS95" s="69"/>
      <c r="BHT95" s="69"/>
      <c r="BHU95" s="69"/>
      <c r="BHV95" s="69"/>
      <c r="BHW95" s="69"/>
      <c r="BHX95" s="69"/>
      <c r="BHY95" s="69"/>
      <c r="BHZ95" s="69"/>
      <c r="BIA95" s="69"/>
      <c r="BIB95" s="69"/>
      <c r="BIC95" s="69"/>
      <c r="BID95" s="69"/>
      <c r="BIE95" s="69"/>
      <c r="BIF95" s="69"/>
      <c r="BIG95" s="69"/>
      <c r="BIH95" s="69"/>
      <c r="BII95" s="69"/>
      <c r="BIJ95" s="69"/>
      <c r="BIK95" s="69"/>
      <c r="BIL95" s="69"/>
      <c r="BIM95" s="69"/>
      <c r="BIN95" s="69"/>
      <c r="BIO95" s="69"/>
      <c r="BIP95" s="69"/>
      <c r="BIQ95" s="69"/>
      <c r="BIR95" s="69"/>
      <c r="BIS95" s="69"/>
      <c r="BIT95" s="69"/>
      <c r="BIU95" s="69"/>
      <c r="BIV95" s="69"/>
      <c r="BIW95" s="69"/>
      <c r="BIX95" s="69"/>
      <c r="BIY95" s="69"/>
      <c r="BIZ95" s="69"/>
      <c r="BJA95" s="69"/>
      <c r="BJB95" s="69"/>
      <c r="BJC95" s="69"/>
      <c r="BJD95" s="69"/>
      <c r="BJE95" s="69"/>
      <c r="BJF95" s="69"/>
      <c r="BJG95" s="69"/>
      <c r="BJH95" s="69"/>
      <c r="BJI95" s="69"/>
      <c r="BJJ95" s="69"/>
      <c r="BJK95" s="69"/>
      <c r="BJL95" s="69"/>
      <c r="BJM95" s="85"/>
      <c r="BJN95" s="70"/>
      <c r="BJO95" s="69"/>
      <c r="BJP95" s="69"/>
      <c r="BJQ95" s="69"/>
      <c r="BJR95" s="69"/>
      <c r="BJS95" s="69"/>
      <c r="BJT95" s="69"/>
      <c r="BJU95" s="69"/>
      <c r="BJV95" s="69"/>
      <c r="BJW95" s="69"/>
      <c r="BJX95" s="69"/>
      <c r="BJY95" s="69"/>
      <c r="BJZ95" s="69"/>
      <c r="BKA95" s="69"/>
      <c r="BKB95" s="69"/>
      <c r="BKC95" s="69"/>
      <c r="BKD95" s="69"/>
      <c r="BKE95" s="69"/>
      <c r="BKF95" s="69"/>
      <c r="BKG95" s="69"/>
      <c r="BKH95" s="69"/>
      <c r="BKI95" s="69"/>
      <c r="BKJ95" s="69"/>
      <c r="BKK95" s="69"/>
      <c r="BKL95" s="69"/>
      <c r="BKM95" s="69"/>
      <c r="BKN95" s="69"/>
      <c r="BKO95" s="69"/>
      <c r="BKP95" s="69"/>
      <c r="BKQ95" s="69"/>
      <c r="BKR95" s="69"/>
      <c r="BKS95" s="69"/>
      <c r="BKT95" s="69"/>
      <c r="BKU95" s="69"/>
      <c r="BKV95" s="69"/>
      <c r="BKW95" s="69"/>
      <c r="BKX95" s="69"/>
      <c r="BKY95" s="69"/>
      <c r="BKZ95" s="69"/>
      <c r="BLA95" s="69"/>
      <c r="BLB95" s="69"/>
      <c r="BLC95" s="69"/>
      <c r="BLD95" s="69"/>
      <c r="BLE95" s="69"/>
      <c r="BLF95" s="69"/>
      <c r="BLG95" s="69"/>
      <c r="BLH95" s="69"/>
      <c r="BLI95" s="69"/>
      <c r="BLJ95" s="69"/>
      <c r="BLK95" s="69"/>
      <c r="BLL95" s="69"/>
      <c r="BLM95" s="69"/>
      <c r="BLN95" s="69"/>
      <c r="BLO95" s="69"/>
      <c r="BLP95" s="69"/>
      <c r="BLQ95" s="69"/>
      <c r="BLR95" s="69"/>
      <c r="BLS95" s="69"/>
      <c r="BLT95" s="69"/>
      <c r="BLU95" s="85"/>
      <c r="BLV95" s="90"/>
    </row>
    <row r="96" spans="1:1686" ht="20.100000000000001" customHeight="1" thickBot="1" x14ac:dyDescent="0.3">
      <c r="B96" s="96"/>
      <c r="C96" s="199"/>
      <c r="D96" s="200"/>
      <c r="E96" s="123" t="str">
        <f xml:space="preserve"> setValueToTime(E95)</f>
        <v>89h</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112"/>
      <c r="BHG96" s="113"/>
      <c r="BHH96" s="113"/>
      <c r="BHI96" s="113"/>
      <c r="BHJ96" s="113"/>
      <c r="BHK96" s="113"/>
      <c r="BHL96" s="113"/>
      <c r="BHM96" s="113"/>
      <c r="BHN96" s="113"/>
      <c r="BHO96" s="113"/>
      <c r="BHP96" s="113"/>
      <c r="BHQ96" s="113"/>
      <c r="BHR96" s="113"/>
      <c r="BHS96" s="113"/>
      <c r="BHT96" s="113"/>
      <c r="BHU96" s="113"/>
      <c r="BHV96" s="113"/>
      <c r="BHW96" s="113"/>
      <c r="BHX96" s="113"/>
      <c r="BHY96" s="113"/>
      <c r="BHZ96" s="113"/>
      <c r="BIA96" s="113"/>
      <c r="BIB96" s="113"/>
      <c r="BIC96" s="113"/>
      <c r="BID96" s="113"/>
      <c r="BIE96" s="113"/>
      <c r="BIF96" s="113"/>
      <c r="BIG96" s="113"/>
      <c r="BIH96" s="113"/>
      <c r="BII96" s="113"/>
      <c r="BIJ96" s="113"/>
      <c r="BIK96" s="113"/>
      <c r="BIL96" s="113"/>
      <c r="BIM96" s="113"/>
      <c r="BIN96" s="113"/>
      <c r="BIO96" s="113"/>
      <c r="BIP96" s="113"/>
      <c r="BIQ96" s="113"/>
      <c r="BIR96" s="113"/>
      <c r="BIS96" s="113"/>
      <c r="BIT96" s="113"/>
      <c r="BIU96" s="113"/>
      <c r="BIV96" s="113"/>
      <c r="BIW96" s="113"/>
      <c r="BIX96" s="113"/>
      <c r="BIY96" s="113"/>
      <c r="BIZ96" s="113"/>
      <c r="BJA96" s="113"/>
      <c r="BJB96" s="113"/>
      <c r="BJC96" s="113"/>
      <c r="BJD96" s="113"/>
      <c r="BJE96" s="113"/>
      <c r="BJF96" s="113"/>
      <c r="BJG96" s="113"/>
      <c r="BJH96" s="113"/>
      <c r="BJI96" s="113"/>
      <c r="BJJ96" s="113"/>
      <c r="BJK96" s="113"/>
      <c r="BJL96" s="113"/>
      <c r="BJM96" s="114"/>
      <c r="BJN96" s="112"/>
      <c r="BJO96" s="113"/>
      <c r="BJP96" s="113"/>
      <c r="BJQ96" s="113"/>
      <c r="BJR96" s="113"/>
      <c r="BJS96" s="113"/>
      <c r="BJT96" s="113"/>
      <c r="BJU96" s="113"/>
      <c r="BJV96" s="113"/>
      <c r="BJW96" s="113"/>
      <c r="BJX96" s="113"/>
      <c r="BJY96" s="113"/>
      <c r="BJZ96" s="113"/>
      <c r="BKA96" s="113"/>
      <c r="BKB96" s="113"/>
      <c r="BKC96" s="113"/>
      <c r="BKD96" s="113"/>
      <c r="BKE96" s="113"/>
      <c r="BKF96" s="113"/>
      <c r="BKG96" s="113"/>
      <c r="BKH96" s="113"/>
      <c r="BKI96" s="113"/>
      <c r="BKJ96" s="113"/>
      <c r="BKK96" s="113"/>
      <c r="BKL96" s="113"/>
      <c r="BKM96" s="113"/>
      <c r="BKN96" s="113"/>
      <c r="BKO96" s="113"/>
      <c r="BKP96" s="113"/>
      <c r="BKQ96" s="113"/>
      <c r="BKR96" s="113"/>
      <c r="BKS96" s="113"/>
      <c r="BKT96" s="113"/>
      <c r="BKU96" s="113"/>
      <c r="BKV96" s="113"/>
      <c r="BKW96" s="113"/>
      <c r="BKX96" s="113"/>
      <c r="BKY96" s="113"/>
      <c r="BKZ96" s="113"/>
      <c r="BLA96" s="113"/>
      <c r="BLB96" s="113"/>
      <c r="BLC96" s="113"/>
      <c r="BLD96" s="113"/>
      <c r="BLE96" s="113"/>
      <c r="BLF96" s="113"/>
      <c r="BLG96" s="113"/>
      <c r="BLH96" s="113"/>
      <c r="BLI96" s="113"/>
      <c r="BLJ96" s="113"/>
      <c r="BLK96" s="113"/>
      <c r="BLL96" s="113"/>
      <c r="BLM96" s="113"/>
      <c r="BLN96" s="113"/>
      <c r="BLO96" s="113"/>
      <c r="BLP96" s="113"/>
      <c r="BLQ96" s="113"/>
      <c r="BLR96" s="113"/>
      <c r="BLS96" s="113"/>
      <c r="BLT96" s="113"/>
      <c r="BLU96" s="114"/>
      <c r="BLV96" s="90"/>
    </row>
    <row r="97" spans="2:1686" ht="20.100000000000001" customHeight="1" x14ac:dyDescent="0.25">
      <c r="B97" s="96"/>
      <c r="C97" s="201" t="s">
        <v>6</v>
      </c>
      <c r="D97" s="202"/>
      <c r="E97" s="118">
        <f>SUM(E16,E18,E20,E22,E24,E26,E28,E30,E32,E34,E36,E38,E40,E42,E44,E46,E48,E50,E52,E54,E56,E58,E60,E62,E64,E66,E68,E70,E72,E74,E76,E78,E80,E82,E84,E86,E88,E90,E92,E94)</f>
        <v>86</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15"/>
      <c r="BHG97" s="115"/>
      <c r="BHH97" s="115"/>
      <c r="BHI97" s="115"/>
      <c r="BHJ97" s="115"/>
      <c r="BHK97" s="115"/>
      <c r="BHL97" s="115"/>
      <c r="BHM97" s="115"/>
      <c r="BHN97" s="115"/>
      <c r="BHO97" s="115"/>
      <c r="BHP97" s="115"/>
      <c r="BHQ97" s="115"/>
      <c r="BHR97" s="115"/>
      <c r="BHS97" s="115"/>
      <c r="BHT97" s="115"/>
      <c r="BHU97" s="115"/>
      <c r="BHV97" s="115"/>
      <c r="BHW97" s="115"/>
      <c r="BHX97" s="115"/>
      <c r="BHY97" s="115"/>
      <c r="BHZ97" s="115"/>
      <c r="BIA97" s="115"/>
      <c r="BIB97" s="115"/>
      <c r="BIC97" s="115"/>
      <c r="BID97" s="115"/>
      <c r="BIE97" s="115"/>
      <c r="BIF97" s="115"/>
      <c r="BIG97" s="115"/>
      <c r="BIH97" s="115"/>
      <c r="BII97" s="115"/>
      <c r="BIJ97" s="115"/>
      <c r="BIK97" s="115"/>
      <c r="BIL97" s="115"/>
      <c r="BIM97" s="115"/>
      <c r="BIN97" s="115"/>
      <c r="BIO97" s="115"/>
      <c r="BIP97" s="115"/>
      <c r="BIQ97" s="115"/>
      <c r="BIR97" s="115"/>
      <c r="BIS97" s="115"/>
      <c r="BIT97" s="115"/>
      <c r="BIU97" s="115"/>
      <c r="BIV97" s="115"/>
      <c r="BIW97" s="115"/>
      <c r="BIX97" s="115"/>
      <c r="BIY97" s="115"/>
      <c r="BIZ97" s="115"/>
      <c r="BJA97" s="115"/>
      <c r="BJB97" s="115"/>
      <c r="BJC97" s="115"/>
      <c r="BJD97" s="115"/>
      <c r="BJE97" s="115"/>
      <c r="BJF97" s="115"/>
      <c r="BJG97" s="115"/>
      <c r="BJH97" s="115"/>
      <c r="BJI97" s="115"/>
      <c r="BJJ97" s="115"/>
      <c r="BJK97" s="115"/>
      <c r="BJL97" s="115"/>
      <c r="BJM97" s="116"/>
      <c r="BJN97" s="115"/>
      <c r="BJO97" s="115"/>
      <c r="BJP97" s="115"/>
      <c r="BJQ97" s="115"/>
      <c r="BJR97" s="115"/>
      <c r="BJS97" s="115"/>
      <c r="BJT97" s="115"/>
      <c r="BJU97" s="115"/>
      <c r="BJV97" s="115"/>
      <c r="BJW97" s="115"/>
      <c r="BJX97" s="115"/>
      <c r="BJY97" s="115"/>
      <c r="BJZ97" s="115"/>
      <c r="BKA97" s="115"/>
      <c r="BKB97" s="115"/>
      <c r="BKC97" s="115"/>
      <c r="BKD97" s="115"/>
      <c r="BKE97" s="115"/>
      <c r="BKF97" s="115"/>
      <c r="BKG97" s="115"/>
      <c r="BKH97" s="115"/>
      <c r="BKI97" s="115"/>
      <c r="BKJ97" s="115"/>
      <c r="BKK97" s="115"/>
      <c r="BKL97" s="115"/>
      <c r="BKM97" s="115"/>
      <c r="BKN97" s="115"/>
      <c r="BKO97" s="115"/>
      <c r="BKP97" s="115"/>
      <c r="BKQ97" s="115"/>
      <c r="BKR97" s="115"/>
      <c r="BKS97" s="115"/>
      <c r="BKT97" s="115"/>
      <c r="BKU97" s="115"/>
      <c r="BKV97" s="115"/>
      <c r="BKW97" s="115"/>
      <c r="BKX97" s="115"/>
      <c r="BKY97" s="115"/>
      <c r="BKZ97" s="115"/>
      <c r="BLA97" s="115"/>
      <c r="BLB97" s="115"/>
      <c r="BLC97" s="115"/>
      <c r="BLD97" s="115"/>
      <c r="BLE97" s="115"/>
      <c r="BLF97" s="115"/>
      <c r="BLG97" s="115"/>
      <c r="BLH97" s="115"/>
      <c r="BLI97" s="115"/>
      <c r="BLJ97" s="115"/>
      <c r="BLK97" s="115"/>
      <c r="BLL97" s="115"/>
      <c r="BLM97" s="115"/>
      <c r="BLN97" s="115"/>
      <c r="BLO97" s="115"/>
      <c r="BLP97" s="115"/>
      <c r="BLQ97" s="115"/>
      <c r="BLR97" s="115"/>
      <c r="BLS97" s="115"/>
      <c r="BLT97" s="115"/>
      <c r="BLU97" s="116"/>
      <c r="BLV97" s="124"/>
    </row>
    <row r="98" spans="2:1686" ht="20.100000000000001" customHeight="1" thickBot="1" x14ac:dyDescent="0.3">
      <c r="B98" s="96"/>
      <c r="C98" s="203"/>
      <c r="D98" s="204"/>
      <c r="E98" s="122" t="str">
        <f xml:space="preserve"> setValueToTime(E97)</f>
        <v>7h10min</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71"/>
      <c r="BHG98" s="71"/>
      <c r="BHH98" s="71"/>
      <c r="BHI98" s="71"/>
      <c r="BHJ98" s="71"/>
      <c r="BHK98" s="71"/>
      <c r="BHL98" s="71"/>
      <c r="BHM98" s="71"/>
      <c r="BHN98" s="71"/>
      <c r="BHO98" s="71"/>
      <c r="BHP98" s="71"/>
      <c r="BHQ98" s="71"/>
      <c r="BHR98" s="71"/>
      <c r="BHS98" s="71"/>
      <c r="BHT98" s="71"/>
      <c r="BHU98" s="71"/>
      <c r="BHV98" s="71"/>
      <c r="BHW98" s="71"/>
      <c r="BHX98" s="71"/>
      <c r="BHY98" s="71"/>
      <c r="BHZ98" s="71"/>
      <c r="BIA98" s="71"/>
      <c r="BIB98" s="71"/>
      <c r="BIC98" s="71"/>
      <c r="BID98" s="71"/>
      <c r="BIE98" s="71"/>
      <c r="BIF98" s="71"/>
      <c r="BIG98" s="71"/>
      <c r="BIH98" s="71"/>
      <c r="BII98" s="71"/>
      <c r="BIJ98" s="71"/>
      <c r="BIK98" s="71"/>
      <c r="BIL98" s="71"/>
      <c r="BIM98" s="71"/>
      <c r="BIN98" s="71"/>
      <c r="BIO98" s="71"/>
      <c r="BIP98" s="71"/>
      <c r="BIQ98" s="71"/>
      <c r="BIR98" s="71"/>
      <c r="BIS98" s="71"/>
      <c r="BIT98" s="71"/>
      <c r="BIU98" s="71"/>
      <c r="BIV98" s="71"/>
      <c r="BIW98" s="71"/>
      <c r="BIX98" s="71"/>
      <c r="BIY98" s="71"/>
      <c r="BIZ98" s="71"/>
      <c r="BJA98" s="71"/>
      <c r="BJB98" s="71"/>
      <c r="BJC98" s="71"/>
      <c r="BJD98" s="71"/>
      <c r="BJE98" s="71"/>
      <c r="BJF98" s="71"/>
      <c r="BJG98" s="71"/>
      <c r="BJH98" s="71"/>
      <c r="BJI98" s="71"/>
      <c r="BJJ98" s="71"/>
      <c r="BJK98" s="71"/>
      <c r="BJL98" s="71"/>
      <c r="BJM98" s="86"/>
      <c r="BJN98" s="71"/>
      <c r="BJO98" s="71"/>
      <c r="BJP98" s="71"/>
      <c r="BJQ98" s="71"/>
      <c r="BJR98" s="71"/>
      <c r="BJS98" s="71"/>
      <c r="BJT98" s="71"/>
      <c r="BJU98" s="71"/>
      <c r="BJV98" s="71"/>
      <c r="BJW98" s="71"/>
      <c r="BJX98" s="71"/>
      <c r="BJY98" s="71"/>
      <c r="BJZ98" s="71"/>
      <c r="BKA98" s="71"/>
      <c r="BKB98" s="71"/>
      <c r="BKC98" s="71"/>
      <c r="BKD98" s="71"/>
      <c r="BKE98" s="71"/>
      <c r="BKF98" s="71"/>
      <c r="BKG98" s="71"/>
      <c r="BKH98" s="71"/>
      <c r="BKI98" s="71"/>
      <c r="BKJ98" s="71"/>
      <c r="BKK98" s="71"/>
      <c r="BKL98" s="71"/>
      <c r="BKM98" s="71"/>
      <c r="BKN98" s="71"/>
      <c r="BKO98" s="71"/>
      <c r="BKP98" s="71"/>
      <c r="BKQ98" s="71"/>
      <c r="BKR98" s="71"/>
      <c r="BKS98" s="71"/>
      <c r="BKT98" s="71"/>
      <c r="BKU98" s="71"/>
      <c r="BKV98" s="71"/>
      <c r="BKW98" s="71"/>
      <c r="BKX98" s="71"/>
      <c r="BKY98" s="71"/>
      <c r="BKZ98" s="71"/>
      <c r="BLA98" s="71"/>
      <c r="BLB98" s="71"/>
      <c r="BLC98" s="71"/>
      <c r="BLD98" s="71"/>
      <c r="BLE98" s="71"/>
      <c r="BLF98" s="71"/>
      <c r="BLG98" s="71"/>
      <c r="BLH98" s="71"/>
      <c r="BLI98" s="71"/>
      <c r="BLJ98" s="71"/>
      <c r="BLK98" s="71"/>
      <c r="BLL98" s="71"/>
      <c r="BLM98" s="71"/>
      <c r="BLN98" s="71"/>
      <c r="BLO98" s="71"/>
      <c r="BLP98" s="71"/>
      <c r="BLQ98" s="71"/>
      <c r="BLR98" s="71"/>
      <c r="BLS98" s="71"/>
      <c r="BLT98" s="71"/>
      <c r="BLU98" s="86"/>
      <c r="BLV98" s="90"/>
    </row>
    <row r="99" spans="2:168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89"/>
      <c r="BHG99" s="89"/>
      <c r="BHH99" s="89"/>
      <c r="BHI99" s="89"/>
      <c r="BHJ99" s="89"/>
      <c r="BHK99" s="89"/>
      <c r="BHL99" s="89"/>
      <c r="BHM99" s="89"/>
      <c r="BHN99" s="89"/>
      <c r="BHO99" s="89"/>
      <c r="BHP99" s="89"/>
      <c r="BHQ99" s="89"/>
      <c r="BHR99" s="89"/>
      <c r="BHS99" s="89"/>
      <c r="BHT99" s="89"/>
      <c r="BHU99" s="89"/>
      <c r="BHV99" s="89"/>
      <c r="BHW99" s="89"/>
      <c r="BHX99" s="89"/>
      <c r="BHY99" s="89"/>
      <c r="BHZ99" s="89"/>
      <c r="BIA99" s="89"/>
      <c r="BIB99" s="89"/>
      <c r="BIC99" s="89"/>
      <c r="BID99" s="89"/>
      <c r="BIE99" s="89"/>
      <c r="BIF99" s="89"/>
      <c r="BIG99" s="89"/>
      <c r="BIH99" s="89"/>
      <c r="BII99" s="89"/>
      <c r="BIJ99" s="89"/>
      <c r="BIK99" s="89"/>
      <c r="BIL99" s="89"/>
      <c r="BIM99" s="89"/>
      <c r="BIN99" s="89"/>
      <c r="BIO99" s="89"/>
      <c r="BIP99" s="89"/>
      <c r="BIQ99" s="89"/>
      <c r="BIR99" s="89"/>
      <c r="BIS99" s="89"/>
      <c r="BIT99" s="89"/>
      <c r="BIU99" s="89"/>
      <c r="BIV99" s="89"/>
      <c r="BIW99" s="89"/>
      <c r="BIX99" s="89"/>
      <c r="BIY99" s="89"/>
      <c r="BIZ99" s="89"/>
      <c r="BJA99" s="89"/>
      <c r="BJB99" s="89"/>
      <c r="BJC99" s="89"/>
      <c r="BJD99" s="89"/>
      <c r="BJE99" s="89"/>
      <c r="BJF99" s="89"/>
      <c r="BJG99" s="89"/>
      <c r="BJH99" s="89"/>
      <c r="BJI99" s="89"/>
      <c r="BJJ99" s="89"/>
      <c r="BJK99" s="89"/>
      <c r="BJL99" s="89"/>
      <c r="BJM99" s="89"/>
      <c r="BJN99" s="89"/>
      <c r="BJO99" s="89"/>
      <c r="BJP99" s="89"/>
      <c r="BJQ99" s="89"/>
      <c r="BJR99" s="89"/>
      <c r="BJS99" s="89"/>
      <c r="BJT99" s="89"/>
      <c r="BJU99" s="89"/>
      <c r="BJV99" s="89"/>
      <c r="BJW99" s="89"/>
      <c r="BJX99" s="89"/>
      <c r="BJY99" s="89"/>
      <c r="BJZ99" s="89"/>
      <c r="BKA99" s="89"/>
      <c r="BKB99" s="89"/>
      <c r="BKC99" s="89"/>
      <c r="BKD99" s="89"/>
      <c r="BKE99" s="89"/>
      <c r="BKF99" s="89"/>
      <c r="BKG99" s="89"/>
      <c r="BKH99" s="89"/>
      <c r="BKI99" s="89"/>
      <c r="BKJ99" s="89"/>
      <c r="BKK99" s="89"/>
      <c r="BKL99" s="89"/>
      <c r="BKM99" s="89"/>
      <c r="BKN99" s="89"/>
      <c r="BKO99" s="89"/>
      <c r="BKP99" s="89"/>
      <c r="BKQ99" s="89"/>
      <c r="BKR99" s="89"/>
      <c r="BKS99" s="89"/>
      <c r="BKT99" s="89"/>
      <c r="BKU99" s="89"/>
      <c r="BKV99" s="89"/>
      <c r="BKW99" s="89"/>
      <c r="BKX99" s="89"/>
      <c r="BKY99" s="89"/>
      <c r="BKZ99" s="89"/>
      <c r="BLA99" s="89"/>
      <c r="BLB99" s="89"/>
      <c r="BLC99" s="89"/>
      <c r="BLD99" s="89"/>
      <c r="BLE99" s="89"/>
      <c r="BLF99" s="89"/>
      <c r="BLG99" s="89"/>
      <c r="BLH99" s="89"/>
      <c r="BLI99" s="89"/>
      <c r="BLJ99" s="89"/>
      <c r="BLK99" s="89"/>
      <c r="BLL99" s="89"/>
      <c r="BLM99" s="89"/>
      <c r="BLN99" s="89"/>
      <c r="BLO99" s="89"/>
      <c r="BLP99" s="89"/>
      <c r="BLQ99" s="89"/>
      <c r="BLR99" s="89"/>
      <c r="BLS99" s="89"/>
      <c r="BLT99" s="89"/>
      <c r="BLU99" s="89"/>
      <c r="BLV99" s="91"/>
    </row>
  </sheetData>
  <sheetProtection insertRows="0" insertHyperlinks="0" selectLockedCells="1"/>
  <mergeCells count="414">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EL14:EO14"/>
    <mergeCell ref="EX14:FA14"/>
    <mergeCell ref="FJ14:FM14"/>
    <mergeCell ref="FV14:FY14"/>
    <mergeCell ref="EF14:EI14"/>
    <mergeCell ref="ER14:EU14"/>
    <mergeCell ref="FD14:FG14"/>
    <mergeCell ref="V14:Y14"/>
    <mergeCell ref="AB14:AE14"/>
    <mergeCell ref="AH14:AK14"/>
    <mergeCell ref="FP14:FS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337"/>
  <sheetViews>
    <sheetView showGridLines="0" topLeftCell="A139" zoomScaleNormal="100" zoomScaleSheetLayoutView="98" zoomScalePageLayoutView="70" workbookViewId="0">
      <selection activeCell="A164" sqref="A164"/>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1.7109375" style="125"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9</v>
      </c>
      <c r="B2" s="163">
        <v>28</v>
      </c>
      <c r="C2" s="163"/>
      <c r="D2" s="82" t="s">
        <v>12</v>
      </c>
      <c r="E2" s="94">
        <v>45083</v>
      </c>
      <c r="F2" s="126" t="s">
        <v>61</v>
      </c>
      <c r="G2" s="46"/>
    </row>
    <row r="3" spans="1:7" s="47" customFormat="1" ht="30" customHeight="1" thickBot="1" x14ac:dyDescent="0.3">
      <c r="A3" s="80" t="s">
        <v>2</v>
      </c>
      <c r="B3" s="150" t="s">
        <v>39</v>
      </c>
      <c r="C3" s="151"/>
      <c r="D3" s="80" t="s">
        <v>10</v>
      </c>
      <c r="E3" s="227" t="s">
        <v>11</v>
      </c>
      <c r="F3" s="228"/>
      <c r="G3" s="46"/>
    </row>
    <row r="4" spans="1:7" s="52" customFormat="1" x14ac:dyDescent="0.3">
      <c r="A4" s="48" t="s">
        <v>13</v>
      </c>
      <c r="B4" s="49">
        <v>13</v>
      </c>
      <c r="C4" s="152" t="str">
        <f xml:space="preserve"> IF(B4="","",setValueToTime(B4))</f>
        <v>1h5min</v>
      </c>
      <c r="D4" s="50" t="s">
        <v>171</v>
      </c>
      <c r="E4" s="229"/>
      <c r="F4" s="230"/>
      <c r="G4" s="51"/>
    </row>
    <row r="5" spans="1:7" s="52" customFormat="1" x14ac:dyDescent="0.3">
      <c r="A5" s="53" t="s">
        <v>13</v>
      </c>
      <c r="B5" s="54">
        <v>6</v>
      </c>
      <c r="C5" s="153" t="str">
        <f t="shared" ref="C5:C11" si="0" xml:space="preserve"> IF(B5="","",setValueToTime(B5))</f>
        <v>0h30min</v>
      </c>
      <c r="D5" s="55" t="s">
        <v>96</v>
      </c>
      <c r="E5" s="221"/>
      <c r="F5" s="222"/>
      <c r="G5" s="51"/>
    </row>
    <row r="6" spans="1:7" s="52" customFormat="1" x14ac:dyDescent="0.3">
      <c r="A6" s="53" t="s">
        <v>14</v>
      </c>
      <c r="B6" s="54">
        <v>3</v>
      </c>
      <c r="C6" s="153" t="str">
        <f t="shared" si="0"/>
        <v>0h15min</v>
      </c>
      <c r="D6" s="55" t="s">
        <v>95</v>
      </c>
      <c r="E6" s="221"/>
      <c r="F6" s="222"/>
      <c r="G6" s="51"/>
    </row>
    <row r="7" spans="1:7" s="52" customFormat="1" x14ac:dyDescent="0.3">
      <c r="A7" s="53"/>
      <c r="B7" s="54"/>
      <c r="C7" s="153"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x14ac:dyDescent="0.3">
      <c r="A10" s="54"/>
      <c r="B10" s="54"/>
      <c r="C10" s="154" t="str">
        <f t="shared" si="0"/>
        <v/>
      </c>
      <c r="D10" s="55"/>
      <c r="E10" s="221"/>
      <c r="F10" s="222"/>
      <c r="G10" s="51"/>
    </row>
    <row r="11" spans="1:7" s="52" customFormat="1" ht="15" thickBot="1" x14ac:dyDescent="0.35">
      <c r="A11" s="56"/>
      <c r="B11" s="56"/>
      <c r="C11" s="155" t="str">
        <f t="shared" si="0"/>
        <v/>
      </c>
      <c r="D11" s="57"/>
      <c r="E11" s="223"/>
      <c r="F11" s="224"/>
      <c r="G11" s="51"/>
    </row>
    <row r="12" spans="1:7" s="52" customFormat="1" ht="15" thickBot="1" x14ac:dyDescent="0.35">
      <c r="A12" s="111" t="s">
        <v>26</v>
      </c>
      <c r="B12" s="84">
        <f>SUM(B4:B11)</f>
        <v>22</v>
      </c>
      <c r="C12" s="111" t="str">
        <f xml:space="preserve"> setValueToTime(B12)</f>
        <v>1h50min</v>
      </c>
      <c r="D12" s="120"/>
      <c r="E12" s="225"/>
      <c r="F12" s="226"/>
      <c r="G12" s="51"/>
    </row>
    <row r="13" spans="1:7" s="59" customFormat="1" ht="15" thickBot="1" x14ac:dyDescent="0.35">
      <c r="A13" s="79"/>
      <c r="B13" s="79"/>
      <c r="C13" s="79"/>
      <c r="D13" s="79"/>
      <c r="E13" s="79"/>
      <c r="F13" s="79"/>
      <c r="G13" s="58"/>
    </row>
    <row r="14" spans="1:7" s="47" customFormat="1" ht="30" customHeight="1" thickBot="1" x14ac:dyDescent="0.3">
      <c r="A14" s="81" t="s">
        <v>9</v>
      </c>
      <c r="B14" s="163">
        <v>27</v>
      </c>
      <c r="C14" s="163"/>
      <c r="D14" s="82" t="s">
        <v>12</v>
      </c>
      <c r="E14" s="94">
        <v>45083</v>
      </c>
      <c r="F14" s="126" t="s">
        <v>60</v>
      </c>
      <c r="G14" s="46"/>
    </row>
    <row r="15" spans="1:7" s="47" customFormat="1" ht="30" customHeight="1" thickBot="1" x14ac:dyDescent="0.3">
      <c r="A15" s="80" t="s">
        <v>2</v>
      </c>
      <c r="B15" s="150" t="s">
        <v>39</v>
      </c>
      <c r="C15" s="151"/>
      <c r="D15" s="80" t="s">
        <v>10</v>
      </c>
      <c r="E15" s="227" t="s">
        <v>11</v>
      </c>
      <c r="F15" s="228"/>
      <c r="G15" s="46"/>
    </row>
    <row r="16" spans="1:7" s="52" customFormat="1" x14ac:dyDescent="0.3">
      <c r="A16" s="48" t="s">
        <v>13</v>
      </c>
      <c r="B16" s="49">
        <v>6</v>
      </c>
      <c r="C16" s="152" t="str">
        <f xml:space="preserve"> IF(B16="","",setValueToTime(B16))</f>
        <v>0h30min</v>
      </c>
      <c r="D16" s="50" t="s">
        <v>169</v>
      </c>
      <c r="E16" s="229"/>
      <c r="F16" s="230"/>
      <c r="G16" s="51"/>
    </row>
    <row r="17" spans="1:7" s="52" customFormat="1" x14ac:dyDescent="0.3">
      <c r="A17" s="53" t="s">
        <v>13</v>
      </c>
      <c r="B17" s="54">
        <v>6</v>
      </c>
      <c r="C17" s="153" t="str">
        <f t="shared" ref="C17:C23" si="1" xml:space="preserve"> IF(B17="","",setValueToTime(B17))</f>
        <v>0h30min</v>
      </c>
      <c r="D17" s="55" t="s">
        <v>96</v>
      </c>
      <c r="E17" s="221"/>
      <c r="F17" s="222"/>
      <c r="G17" s="51"/>
    </row>
    <row r="18" spans="1:7" s="52" customFormat="1" x14ac:dyDescent="0.3">
      <c r="A18" s="53" t="s">
        <v>14</v>
      </c>
      <c r="B18" s="54">
        <v>3</v>
      </c>
      <c r="C18" s="153" t="str">
        <f t="shared" si="1"/>
        <v>0h15min</v>
      </c>
      <c r="D18" s="55" t="s">
        <v>95</v>
      </c>
      <c r="E18" s="221"/>
      <c r="F18" s="222"/>
      <c r="G18" s="51"/>
    </row>
    <row r="19" spans="1:7" s="52" customFormat="1" x14ac:dyDescent="0.3">
      <c r="A19" s="53" t="s">
        <v>156</v>
      </c>
      <c r="B19" s="54">
        <v>23</v>
      </c>
      <c r="C19" s="153" t="str">
        <f t="shared" si="1"/>
        <v>1h55min</v>
      </c>
      <c r="D19" s="55" t="s">
        <v>170</v>
      </c>
      <c r="E19" s="221"/>
      <c r="F19" s="222"/>
      <c r="G19" s="51"/>
    </row>
    <row r="20" spans="1:7" s="52" customFormat="1" x14ac:dyDescent="0.3">
      <c r="A20" s="54"/>
      <c r="B20" s="54"/>
      <c r="C20" s="154" t="str">
        <f t="shared" si="1"/>
        <v/>
      </c>
      <c r="D20" s="55"/>
      <c r="E20" s="221"/>
      <c r="F20" s="222"/>
      <c r="G20" s="51"/>
    </row>
    <row r="21" spans="1:7" s="52" customFormat="1" x14ac:dyDescent="0.3">
      <c r="A21" s="54"/>
      <c r="B21" s="54"/>
      <c r="C21" s="154" t="str">
        <f t="shared" si="1"/>
        <v/>
      </c>
      <c r="D21" s="55"/>
      <c r="E21" s="221"/>
      <c r="F21" s="222"/>
      <c r="G21" s="51"/>
    </row>
    <row r="22" spans="1:7" s="52" customFormat="1" x14ac:dyDescent="0.3">
      <c r="A22" s="54"/>
      <c r="B22" s="54"/>
      <c r="C22" s="154" t="str">
        <f t="shared" si="1"/>
        <v/>
      </c>
      <c r="D22" s="55"/>
      <c r="E22" s="221"/>
      <c r="F22" s="222"/>
      <c r="G22" s="51"/>
    </row>
    <row r="23" spans="1:7" s="52" customFormat="1" ht="15" thickBot="1" x14ac:dyDescent="0.35">
      <c r="A23" s="56"/>
      <c r="B23" s="56"/>
      <c r="C23" s="155" t="str">
        <f t="shared" si="1"/>
        <v/>
      </c>
      <c r="D23" s="57"/>
      <c r="E23" s="223"/>
      <c r="F23" s="224"/>
      <c r="G23" s="51"/>
    </row>
    <row r="24" spans="1:7" s="52" customFormat="1" ht="15" thickBot="1" x14ac:dyDescent="0.35">
      <c r="A24" s="111" t="s">
        <v>26</v>
      </c>
      <c r="B24" s="84">
        <f>SUM(B16:B23)</f>
        <v>38</v>
      </c>
      <c r="C24" s="111" t="str">
        <f xml:space="preserve"> setValueToTime(B24)</f>
        <v>3h10min</v>
      </c>
      <c r="D24" s="120"/>
      <c r="E24" s="225"/>
      <c r="F24" s="226"/>
      <c r="G24" s="51"/>
    </row>
    <row r="25" spans="1:7" s="59" customFormat="1" ht="15" thickBot="1" x14ac:dyDescent="0.35">
      <c r="A25" s="79"/>
      <c r="B25" s="79"/>
      <c r="C25" s="79"/>
      <c r="D25" s="79"/>
      <c r="E25" s="79"/>
      <c r="F25" s="79"/>
      <c r="G25" s="58"/>
    </row>
    <row r="26" spans="1:7" s="47" customFormat="1" ht="30" customHeight="1" thickBot="1" x14ac:dyDescent="0.3">
      <c r="A26" s="81" t="s">
        <v>9</v>
      </c>
      <c r="B26" s="163">
        <v>26</v>
      </c>
      <c r="C26" s="163"/>
      <c r="D26" s="82" t="s">
        <v>12</v>
      </c>
      <c r="E26" s="94">
        <v>45082</v>
      </c>
      <c r="F26" s="126" t="s">
        <v>61</v>
      </c>
      <c r="G26" s="46"/>
    </row>
    <row r="27" spans="1:7" s="47" customFormat="1" ht="30" customHeight="1" thickBot="1" x14ac:dyDescent="0.3">
      <c r="A27" s="80" t="s">
        <v>2</v>
      </c>
      <c r="B27" s="150" t="s">
        <v>39</v>
      </c>
      <c r="C27" s="151"/>
      <c r="D27" s="80" t="s">
        <v>10</v>
      </c>
      <c r="E27" s="227" t="s">
        <v>11</v>
      </c>
      <c r="F27" s="228"/>
      <c r="G27" s="46"/>
    </row>
    <row r="28" spans="1:7" s="52" customFormat="1" x14ac:dyDescent="0.3">
      <c r="A28" s="48" t="s">
        <v>14</v>
      </c>
      <c r="B28" s="49">
        <v>13</v>
      </c>
      <c r="C28" s="152" t="str">
        <f xml:space="preserve"> IF(B28="","",setValueToTime(B28))</f>
        <v>1h5min</v>
      </c>
      <c r="D28" s="50" t="s">
        <v>168</v>
      </c>
      <c r="E28" s="229"/>
      <c r="F28" s="230"/>
      <c r="G28" s="51"/>
    </row>
    <row r="29" spans="1:7" s="52" customFormat="1" x14ac:dyDescent="0.3">
      <c r="A29" s="53" t="s">
        <v>13</v>
      </c>
      <c r="B29" s="54">
        <v>6</v>
      </c>
      <c r="C29" s="153" t="str">
        <f t="shared" ref="C29:C35" si="2" xml:space="preserve"> IF(B29="","",setValueToTime(B29))</f>
        <v>0h30min</v>
      </c>
      <c r="D29" s="55" t="s">
        <v>96</v>
      </c>
      <c r="E29" s="221"/>
      <c r="F29" s="222"/>
      <c r="G29" s="51"/>
    </row>
    <row r="30" spans="1:7" s="52" customFormat="1" x14ac:dyDescent="0.3">
      <c r="A30" s="53" t="s">
        <v>14</v>
      </c>
      <c r="B30" s="54">
        <v>3</v>
      </c>
      <c r="C30" s="153" t="str">
        <f t="shared" si="2"/>
        <v>0h15min</v>
      </c>
      <c r="D30" s="55" t="s">
        <v>95</v>
      </c>
      <c r="E30" s="221"/>
      <c r="F30" s="222"/>
      <c r="G30" s="51"/>
    </row>
    <row r="31" spans="1:7" s="52" customFormat="1" x14ac:dyDescent="0.3">
      <c r="A31" s="53" t="s">
        <v>13</v>
      </c>
      <c r="B31" s="54">
        <v>16</v>
      </c>
      <c r="C31" s="153" t="str">
        <f t="shared" si="2"/>
        <v>1h20min</v>
      </c>
      <c r="D31" s="55" t="s">
        <v>163</v>
      </c>
      <c r="E31" s="221"/>
      <c r="F31" s="222"/>
      <c r="G31" s="51"/>
    </row>
    <row r="32" spans="1:7" s="52" customFormat="1" x14ac:dyDescent="0.3">
      <c r="A32" s="54"/>
      <c r="B32" s="54"/>
      <c r="C32" s="154" t="str">
        <f t="shared" si="2"/>
        <v/>
      </c>
      <c r="D32" s="55"/>
      <c r="E32" s="221"/>
      <c r="F32" s="222"/>
      <c r="G32" s="51"/>
    </row>
    <row r="33" spans="1:7" s="52" customFormat="1" x14ac:dyDescent="0.3">
      <c r="A33" s="54"/>
      <c r="B33" s="54"/>
      <c r="C33" s="154" t="str">
        <f t="shared" si="2"/>
        <v/>
      </c>
      <c r="D33" s="55"/>
      <c r="E33" s="221"/>
      <c r="F33" s="222"/>
      <c r="G33" s="51"/>
    </row>
    <row r="34" spans="1:7" s="52" customFormat="1" x14ac:dyDescent="0.3">
      <c r="A34" s="54"/>
      <c r="B34" s="54"/>
      <c r="C34" s="154" t="str">
        <f t="shared" si="2"/>
        <v/>
      </c>
      <c r="D34" s="55"/>
      <c r="E34" s="221"/>
      <c r="F34" s="222"/>
      <c r="G34" s="51"/>
    </row>
    <row r="35" spans="1:7" s="52" customFormat="1" ht="15" thickBot="1" x14ac:dyDescent="0.35">
      <c r="A35" s="56"/>
      <c r="B35" s="56"/>
      <c r="C35" s="155" t="str">
        <f t="shared" si="2"/>
        <v/>
      </c>
      <c r="D35" s="57"/>
      <c r="E35" s="223"/>
      <c r="F35" s="224"/>
      <c r="G35" s="51"/>
    </row>
    <row r="36" spans="1:7" s="52" customFormat="1" ht="15" thickBot="1" x14ac:dyDescent="0.35">
      <c r="A36" s="111" t="s">
        <v>26</v>
      </c>
      <c r="B36" s="84">
        <f>SUM(B28:B35)</f>
        <v>38</v>
      </c>
      <c r="C36" s="111" t="str">
        <f xml:space="preserve"> setValueToTime(B36)</f>
        <v>3h10min</v>
      </c>
      <c r="D36" s="120"/>
      <c r="E36" s="225"/>
      <c r="F36" s="226"/>
      <c r="G36" s="51"/>
    </row>
    <row r="37" spans="1:7" s="59" customFormat="1" ht="15" thickBot="1" x14ac:dyDescent="0.35">
      <c r="A37" s="79"/>
      <c r="B37" s="79"/>
      <c r="C37" s="79"/>
      <c r="D37" s="79"/>
      <c r="E37" s="79"/>
      <c r="F37" s="79"/>
      <c r="G37" s="58"/>
    </row>
    <row r="38" spans="1:7" s="47" customFormat="1" ht="30" customHeight="1" thickBot="1" x14ac:dyDescent="0.3">
      <c r="A38" s="81" t="s">
        <v>9</v>
      </c>
      <c r="B38" s="163">
        <v>25</v>
      </c>
      <c r="C38" s="163"/>
      <c r="D38" s="82" t="s">
        <v>12</v>
      </c>
      <c r="E38" s="94">
        <v>45082</v>
      </c>
      <c r="F38" s="126" t="s">
        <v>60</v>
      </c>
      <c r="G38" s="46"/>
    </row>
    <row r="39" spans="1:7" s="47" customFormat="1" ht="30" customHeight="1" thickBot="1" x14ac:dyDescent="0.3">
      <c r="A39" s="80" t="s">
        <v>2</v>
      </c>
      <c r="B39" s="150" t="s">
        <v>39</v>
      </c>
      <c r="C39" s="151"/>
      <c r="D39" s="80" t="s">
        <v>10</v>
      </c>
      <c r="E39" s="227" t="s">
        <v>11</v>
      </c>
      <c r="F39" s="228"/>
      <c r="G39" s="46"/>
    </row>
    <row r="40" spans="1:7" s="52" customFormat="1" x14ac:dyDescent="0.3">
      <c r="A40" s="48" t="s">
        <v>152</v>
      </c>
      <c r="B40" s="49">
        <v>9</v>
      </c>
      <c r="C40" s="152" t="str">
        <f xml:space="preserve"> IF(B40="","",setValueToTime(B40))</f>
        <v>0h45min</v>
      </c>
      <c r="D40" s="50" t="s">
        <v>167</v>
      </c>
      <c r="E40" s="229"/>
      <c r="F40" s="230"/>
      <c r="G40" s="51"/>
    </row>
    <row r="41" spans="1:7" s="52" customFormat="1" x14ac:dyDescent="0.3">
      <c r="A41" s="53" t="s">
        <v>13</v>
      </c>
      <c r="B41" s="54">
        <v>6</v>
      </c>
      <c r="C41" s="153" t="str">
        <f t="shared" ref="C41:C47" si="3" xml:space="preserve"> IF(B41="","",setValueToTime(B41))</f>
        <v>0h30min</v>
      </c>
      <c r="D41" s="55" t="s">
        <v>96</v>
      </c>
      <c r="E41" s="221"/>
      <c r="F41" s="222"/>
      <c r="G41" s="51"/>
    </row>
    <row r="42" spans="1:7" s="52" customFormat="1" x14ac:dyDescent="0.3">
      <c r="A42" s="53" t="s">
        <v>14</v>
      </c>
      <c r="B42" s="54">
        <v>3</v>
      </c>
      <c r="C42" s="153" t="str">
        <f t="shared" si="3"/>
        <v>0h15min</v>
      </c>
      <c r="D42" s="55" t="s">
        <v>95</v>
      </c>
      <c r="E42" s="221"/>
      <c r="F42" s="222"/>
      <c r="G42" s="51"/>
    </row>
    <row r="43" spans="1:7" s="52" customFormat="1" x14ac:dyDescent="0.3">
      <c r="A43" s="53" t="s">
        <v>152</v>
      </c>
      <c r="B43" s="54">
        <v>20</v>
      </c>
      <c r="C43" s="153" t="str">
        <f t="shared" si="3"/>
        <v>1h40min</v>
      </c>
      <c r="D43" s="55" t="s">
        <v>166</v>
      </c>
      <c r="E43" s="221"/>
      <c r="F43" s="222"/>
      <c r="G43" s="51"/>
    </row>
    <row r="44" spans="1:7" s="52" customFormat="1" x14ac:dyDescent="0.3">
      <c r="A44" s="54"/>
      <c r="B44" s="54"/>
      <c r="C44" s="154" t="str">
        <f t="shared" si="3"/>
        <v/>
      </c>
      <c r="D44" s="55"/>
      <c r="E44" s="221"/>
      <c r="F44" s="222"/>
      <c r="G44" s="51"/>
    </row>
    <row r="45" spans="1:7" s="52" customFormat="1" x14ac:dyDescent="0.3">
      <c r="A45" s="54"/>
      <c r="B45" s="54"/>
      <c r="C45" s="154" t="str">
        <f t="shared" si="3"/>
        <v/>
      </c>
      <c r="D45" s="55"/>
      <c r="E45" s="221"/>
      <c r="F45" s="222"/>
      <c r="G45" s="51"/>
    </row>
    <row r="46" spans="1:7" s="52" customFormat="1" x14ac:dyDescent="0.3">
      <c r="A46" s="54"/>
      <c r="B46" s="54"/>
      <c r="C46" s="154" t="str">
        <f t="shared" si="3"/>
        <v/>
      </c>
      <c r="D46" s="55"/>
      <c r="E46" s="221"/>
      <c r="F46" s="222"/>
      <c r="G46" s="51"/>
    </row>
    <row r="47" spans="1:7" s="52" customFormat="1" ht="15" thickBot="1" x14ac:dyDescent="0.35">
      <c r="A47" s="56"/>
      <c r="B47" s="56"/>
      <c r="C47" s="155" t="str">
        <f t="shared" si="3"/>
        <v/>
      </c>
      <c r="D47" s="57"/>
      <c r="E47" s="223"/>
      <c r="F47" s="224"/>
      <c r="G47" s="51"/>
    </row>
    <row r="48" spans="1:7" s="52" customFormat="1" ht="15" thickBot="1" x14ac:dyDescent="0.35">
      <c r="A48" s="111" t="s">
        <v>26</v>
      </c>
      <c r="B48" s="84">
        <f>SUM(B40:B47)</f>
        <v>38</v>
      </c>
      <c r="C48" s="111" t="str">
        <f xml:space="preserve"> setValueToTime(B48)</f>
        <v>3h10min</v>
      </c>
      <c r="D48" s="120"/>
      <c r="E48" s="225"/>
      <c r="F48" s="226"/>
      <c r="G48" s="51"/>
    </row>
    <row r="49" spans="1:7" s="59" customFormat="1" ht="15" thickBot="1" x14ac:dyDescent="0.35">
      <c r="A49" s="79"/>
      <c r="B49" s="79"/>
      <c r="C49" s="79"/>
      <c r="D49" s="79"/>
      <c r="E49" s="79"/>
      <c r="F49" s="79"/>
      <c r="G49" s="58"/>
    </row>
    <row r="50" spans="1:7" s="47" customFormat="1" ht="30" customHeight="1" thickBot="1" x14ac:dyDescent="0.3">
      <c r="A50" s="81" t="s">
        <v>9</v>
      </c>
      <c r="B50" s="163">
        <v>24</v>
      </c>
      <c r="C50" s="163"/>
      <c r="D50" s="82" t="s">
        <v>12</v>
      </c>
      <c r="E50" s="94">
        <v>45079</v>
      </c>
      <c r="F50" s="126" t="s">
        <v>61</v>
      </c>
      <c r="G50" s="46"/>
    </row>
    <row r="51" spans="1:7" s="47" customFormat="1" ht="30" customHeight="1" thickBot="1" x14ac:dyDescent="0.3">
      <c r="A51" s="80" t="s">
        <v>2</v>
      </c>
      <c r="B51" s="150" t="s">
        <v>39</v>
      </c>
      <c r="C51" s="151"/>
      <c r="D51" s="80" t="s">
        <v>10</v>
      </c>
      <c r="E51" s="227" t="s">
        <v>11</v>
      </c>
      <c r="F51" s="228"/>
      <c r="G51" s="46"/>
    </row>
    <row r="52" spans="1:7" s="52" customFormat="1" x14ac:dyDescent="0.3">
      <c r="A52" s="48" t="s">
        <v>152</v>
      </c>
      <c r="B52" s="49">
        <v>29</v>
      </c>
      <c r="C52" s="152" t="str">
        <f xml:space="preserve"> IF(B52="","",setValueToTime(B52))</f>
        <v>2h25min</v>
      </c>
      <c r="D52" s="50" t="s">
        <v>164</v>
      </c>
      <c r="E52" s="229"/>
      <c r="F52" s="230"/>
      <c r="G52" s="51"/>
    </row>
    <row r="53" spans="1:7" s="52" customFormat="1" x14ac:dyDescent="0.3">
      <c r="A53" s="53" t="s">
        <v>13</v>
      </c>
      <c r="B53" s="54">
        <v>6</v>
      </c>
      <c r="C53" s="153" t="str">
        <f t="shared" ref="C53:C59" si="4" xml:space="preserve"> IF(B53="","",setValueToTime(B53))</f>
        <v>0h30min</v>
      </c>
      <c r="D53" s="55" t="s">
        <v>96</v>
      </c>
      <c r="E53" s="221"/>
      <c r="F53" s="222"/>
      <c r="G53" s="51"/>
    </row>
    <row r="54" spans="1:7" s="52" customFormat="1" x14ac:dyDescent="0.3">
      <c r="A54" s="53" t="s">
        <v>14</v>
      </c>
      <c r="B54" s="54">
        <v>3</v>
      </c>
      <c r="C54" s="153" t="str">
        <f t="shared" si="4"/>
        <v>0h15min</v>
      </c>
      <c r="D54" s="55" t="s">
        <v>95</v>
      </c>
      <c r="E54" s="221"/>
      <c r="F54" s="222"/>
      <c r="G54" s="51"/>
    </row>
    <row r="55" spans="1:7" s="52" customFormat="1" x14ac:dyDescent="0.3">
      <c r="A55" s="53"/>
      <c r="B55" s="54"/>
      <c r="C55" s="153" t="str">
        <f t="shared" si="4"/>
        <v/>
      </c>
      <c r="D55" s="55"/>
      <c r="E55" s="221"/>
      <c r="F55" s="222"/>
      <c r="G55" s="51"/>
    </row>
    <row r="56" spans="1:7" s="52" customFormat="1" x14ac:dyDescent="0.3">
      <c r="A56" s="54"/>
      <c r="B56" s="54"/>
      <c r="C56" s="154" t="str">
        <f t="shared" si="4"/>
        <v/>
      </c>
      <c r="D56" s="55"/>
      <c r="E56" s="221"/>
      <c r="F56" s="222"/>
      <c r="G56" s="51"/>
    </row>
    <row r="57" spans="1:7" s="52" customFormat="1" x14ac:dyDescent="0.3">
      <c r="A57" s="54"/>
      <c r="B57" s="54"/>
      <c r="C57" s="154" t="str">
        <f t="shared" si="4"/>
        <v/>
      </c>
      <c r="D57" s="55"/>
      <c r="E57" s="221"/>
      <c r="F57" s="222"/>
      <c r="G57" s="51"/>
    </row>
    <row r="58" spans="1:7" s="52" customFormat="1" x14ac:dyDescent="0.3">
      <c r="A58" s="54"/>
      <c r="B58" s="54"/>
      <c r="C58" s="154" t="str">
        <f t="shared" si="4"/>
        <v/>
      </c>
      <c r="D58" s="55"/>
      <c r="E58" s="221"/>
      <c r="F58" s="222"/>
      <c r="G58" s="51"/>
    </row>
    <row r="59" spans="1:7" s="52" customFormat="1" ht="15" thickBot="1" x14ac:dyDescent="0.35">
      <c r="A59" s="56"/>
      <c r="B59" s="56"/>
      <c r="C59" s="155" t="str">
        <f t="shared" si="4"/>
        <v/>
      </c>
      <c r="D59" s="57"/>
      <c r="E59" s="223"/>
      <c r="F59" s="224"/>
      <c r="G59" s="51"/>
    </row>
    <row r="60" spans="1:7" s="52" customFormat="1" ht="15" thickBot="1" x14ac:dyDescent="0.35">
      <c r="A60" s="111" t="s">
        <v>26</v>
      </c>
      <c r="B60" s="84">
        <f>SUM(B52:B59)</f>
        <v>38</v>
      </c>
      <c r="C60" s="111" t="str">
        <f xml:space="preserve"> setValueToTime(B60)</f>
        <v>3h10min</v>
      </c>
      <c r="D60" s="120"/>
      <c r="E60" s="225"/>
      <c r="F60" s="226"/>
      <c r="G60" s="51"/>
    </row>
    <row r="61" spans="1:7" s="59" customFormat="1" ht="15" thickBot="1" x14ac:dyDescent="0.35">
      <c r="A61" s="79"/>
      <c r="B61" s="79"/>
      <c r="C61" s="79"/>
      <c r="D61" s="79"/>
      <c r="E61" s="79"/>
      <c r="F61" s="79"/>
      <c r="G61" s="58"/>
    </row>
    <row r="62" spans="1:7" s="47" customFormat="1" ht="30" customHeight="1" thickBot="1" x14ac:dyDescent="0.3">
      <c r="A62" s="81" t="s">
        <v>9</v>
      </c>
      <c r="B62" s="163">
        <v>23</v>
      </c>
      <c r="C62" s="163"/>
      <c r="D62" s="82" t="s">
        <v>12</v>
      </c>
      <c r="E62" s="94">
        <v>45079</v>
      </c>
      <c r="F62" s="126" t="s">
        <v>60</v>
      </c>
      <c r="G62" s="46"/>
    </row>
    <row r="63" spans="1:7" s="47" customFormat="1" ht="30" customHeight="1" thickBot="1" x14ac:dyDescent="0.3">
      <c r="A63" s="80" t="s">
        <v>2</v>
      </c>
      <c r="B63" s="150" t="s">
        <v>39</v>
      </c>
      <c r="C63" s="151"/>
      <c r="D63" s="80" t="s">
        <v>10</v>
      </c>
      <c r="E63" s="227" t="s">
        <v>11</v>
      </c>
      <c r="F63" s="228"/>
      <c r="G63" s="46"/>
    </row>
    <row r="64" spans="1:7" s="52" customFormat="1" ht="27" x14ac:dyDescent="0.3">
      <c r="A64" s="48" t="s">
        <v>129</v>
      </c>
      <c r="B64" s="49">
        <v>12</v>
      </c>
      <c r="C64" s="152" t="str">
        <f xml:space="preserve"> IF(B64="","",setValueToTime(B64))</f>
        <v>1h</v>
      </c>
      <c r="D64" s="50" t="s">
        <v>165</v>
      </c>
      <c r="E64" s="229"/>
      <c r="F64" s="230"/>
      <c r="G64" s="51"/>
    </row>
    <row r="65" spans="1:7" s="52" customFormat="1" x14ac:dyDescent="0.3">
      <c r="A65" s="53" t="s">
        <v>13</v>
      </c>
      <c r="B65" s="54">
        <v>6</v>
      </c>
      <c r="C65" s="153" t="str">
        <f t="shared" ref="C65:C71" si="5" xml:space="preserve"> IF(B65="","",setValueToTime(B65))</f>
        <v>0h30min</v>
      </c>
      <c r="D65" s="55" t="s">
        <v>96</v>
      </c>
      <c r="E65" s="221"/>
      <c r="F65" s="222"/>
      <c r="G65" s="51"/>
    </row>
    <row r="66" spans="1:7" s="52" customFormat="1" x14ac:dyDescent="0.3">
      <c r="A66" s="53" t="s">
        <v>14</v>
      </c>
      <c r="B66" s="54">
        <v>3</v>
      </c>
      <c r="C66" s="153" t="str">
        <f t="shared" si="5"/>
        <v>0h15min</v>
      </c>
      <c r="D66" s="55" t="s">
        <v>95</v>
      </c>
      <c r="E66" s="221"/>
      <c r="F66" s="222"/>
      <c r="G66" s="51"/>
    </row>
    <row r="67" spans="1:7" s="52" customFormat="1" x14ac:dyDescent="0.3">
      <c r="A67" s="53" t="s">
        <v>152</v>
      </c>
      <c r="B67" s="54">
        <v>27</v>
      </c>
      <c r="C67" s="153" t="str">
        <f t="shared" si="5"/>
        <v>2h15min</v>
      </c>
      <c r="D67" s="55" t="s">
        <v>164</v>
      </c>
      <c r="E67" s="221"/>
      <c r="F67" s="222"/>
      <c r="G67" s="51"/>
    </row>
    <row r="68" spans="1:7" s="52" customFormat="1" x14ac:dyDescent="0.3">
      <c r="A68" s="54"/>
      <c r="B68" s="54"/>
      <c r="C68" s="154" t="str">
        <f t="shared" si="5"/>
        <v/>
      </c>
      <c r="D68" s="55"/>
      <c r="E68" s="221"/>
      <c r="F68" s="222"/>
      <c r="G68" s="51"/>
    </row>
    <row r="69" spans="1:7" s="52" customFormat="1" x14ac:dyDescent="0.3">
      <c r="A69" s="54"/>
      <c r="B69" s="54"/>
      <c r="C69" s="154" t="str">
        <f t="shared" si="5"/>
        <v/>
      </c>
      <c r="D69" s="55"/>
      <c r="E69" s="221"/>
      <c r="F69" s="222"/>
      <c r="G69" s="51"/>
    </row>
    <row r="70" spans="1:7" s="52" customFormat="1" x14ac:dyDescent="0.3">
      <c r="A70" s="54"/>
      <c r="B70" s="54"/>
      <c r="C70" s="154" t="str">
        <f t="shared" si="5"/>
        <v/>
      </c>
      <c r="D70" s="55"/>
      <c r="E70" s="221"/>
      <c r="F70" s="222"/>
      <c r="G70" s="51"/>
    </row>
    <row r="71" spans="1:7" s="52" customFormat="1" ht="15" thickBot="1" x14ac:dyDescent="0.35">
      <c r="A71" s="56"/>
      <c r="B71" s="56"/>
      <c r="C71" s="155" t="str">
        <f t="shared" si="5"/>
        <v/>
      </c>
      <c r="D71" s="57"/>
      <c r="E71" s="223"/>
      <c r="F71" s="224"/>
      <c r="G71" s="51"/>
    </row>
    <row r="72" spans="1:7" s="52" customFormat="1" ht="15" thickBot="1" x14ac:dyDescent="0.35">
      <c r="A72" s="111" t="s">
        <v>26</v>
      </c>
      <c r="B72" s="84">
        <f>SUM(B64:B71)</f>
        <v>48</v>
      </c>
      <c r="C72" s="111" t="str">
        <f xml:space="preserve"> setValueToTime(B72)</f>
        <v>4h</v>
      </c>
      <c r="D72" s="120"/>
      <c r="E72" s="225"/>
      <c r="F72" s="226"/>
      <c r="G72" s="51"/>
    </row>
    <row r="73" spans="1:7" s="59" customFormat="1" ht="15" thickBot="1" x14ac:dyDescent="0.35">
      <c r="A73" s="79"/>
      <c r="B73" s="79"/>
      <c r="C73" s="79"/>
      <c r="D73" s="79"/>
      <c r="E73" s="79"/>
      <c r="F73" s="79"/>
      <c r="G73" s="58"/>
    </row>
    <row r="74" spans="1:7" s="47" customFormat="1" ht="30" customHeight="1" thickBot="1" x14ac:dyDescent="0.3">
      <c r="A74" s="81" t="s">
        <v>9</v>
      </c>
      <c r="B74" s="163">
        <v>22</v>
      </c>
      <c r="C74" s="163"/>
      <c r="D74" s="82" t="s">
        <v>12</v>
      </c>
      <c r="E74" s="94">
        <v>45078</v>
      </c>
      <c r="F74" s="126" t="s">
        <v>61</v>
      </c>
      <c r="G74" s="46"/>
    </row>
    <row r="75" spans="1:7" s="47" customFormat="1" ht="30" customHeight="1" thickBot="1" x14ac:dyDescent="0.3">
      <c r="A75" s="80" t="s">
        <v>2</v>
      </c>
      <c r="B75" s="150" t="s">
        <v>39</v>
      </c>
      <c r="C75" s="151"/>
      <c r="D75" s="80" t="s">
        <v>10</v>
      </c>
      <c r="E75" s="227" t="s">
        <v>11</v>
      </c>
      <c r="F75" s="228"/>
      <c r="G75" s="46"/>
    </row>
    <row r="76" spans="1:7" s="52" customFormat="1" x14ac:dyDescent="0.3">
      <c r="A76" s="48" t="s">
        <v>156</v>
      </c>
      <c r="B76" s="49">
        <v>29</v>
      </c>
      <c r="C76" s="152" t="str">
        <f xml:space="preserve"> IF(B76="","",setValueToTime(B76))</f>
        <v>2h25min</v>
      </c>
      <c r="D76" s="50" t="s">
        <v>162</v>
      </c>
      <c r="E76" s="229"/>
      <c r="F76" s="230"/>
      <c r="G76" s="51"/>
    </row>
    <row r="77" spans="1:7" s="52" customFormat="1" x14ac:dyDescent="0.3">
      <c r="A77" s="53" t="s">
        <v>13</v>
      </c>
      <c r="B77" s="54">
        <v>6</v>
      </c>
      <c r="C77" s="153" t="str">
        <f t="shared" ref="C77:C83" si="6" xml:space="preserve"> IF(B77="","",setValueToTime(B77))</f>
        <v>0h30min</v>
      </c>
      <c r="D77" s="55" t="s">
        <v>96</v>
      </c>
      <c r="E77" s="221"/>
      <c r="F77" s="222"/>
      <c r="G77" s="51"/>
    </row>
    <row r="78" spans="1:7" s="52" customFormat="1" x14ac:dyDescent="0.3">
      <c r="A78" s="53" t="s">
        <v>14</v>
      </c>
      <c r="B78" s="54">
        <v>3</v>
      </c>
      <c r="C78" s="153" t="str">
        <f t="shared" si="6"/>
        <v>0h15min</v>
      </c>
      <c r="D78" s="55" t="s">
        <v>95</v>
      </c>
      <c r="E78" s="221"/>
      <c r="F78" s="222"/>
      <c r="G78" s="51"/>
    </row>
    <row r="79" spans="1:7" s="52" customFormat="1" x14ac:dyDescent="0.3">
      <c r="A79" s="53"/>
      <c r="B79" s="54"/>
      <c r="C79" s="153" t="str">
        <f t="shared" si="6"/>
        <v/>
      </c>
      <c r="D79" s="55"/>
      <c r="E79" s="221"/>
      <c r="F79" s="222"/>
      <c r="G79" s="51"/>
    </row>
    <row r="80" spans="1:7" s="52" customFormat="1" x14ac:dyDescent="0.3">
      <c r="A80" s="54"/>
      <c r="B80" s="54"/>
      <c r="C80" s="154" t="str">
        <f t="shared" si="6"/>
        <v/>
      </c>
      <c r="D80" s="55"/>
      <c r="E80" s="221"/>
      <c r="F80" s="222"/>
      <c r="G80" s="51"/>
    </row>
    <row r="81" spans="1:7" s="52" customFormat="1" x14ac:dyDescent="0.3">
      <c r="A81" s="54"/>
      <c r="B81" s="54"/>
      <c r="C81" s="154" t="str">
        <f t="shared" si="6"/>
        <v/>
      </c>
      <c r="D81" s="55"/>
      <c r="E81" s="221"/>
      <c r="F81" s="222"/>
      <c r="G81" s="51"/>
    </row>
    <row r="82" spans="1:7" s="52" customFormat="1" x14ac:dyDescent="0.3">
      <c r="A82" s="54"/>
      <c r="B82" s="54"/>
      <c r="C82" s="154" t="str">
        <f t="shared" si="6"/>
        <v/>
      </c>
      <c r="D82" s="55"/>
      <c r="E82" s="221"/>
      <c r="F82" s="222"/>
      <c r="G82" s="51"/>
    </row>
    <row r="83" spans="1:7" s="52" customFormat="1" ht="15" thickBot="1" x14ac:dyDescent="0.35">
      <c r="A83" s="56"/>
      <c r="B83" s="56"/>
      <c r="C83" s="155" t="str">
        <f t="shared" si="6"/>
        <v/>
      </c>
      <c r="D83" s="57"/>
      <c r="E83" s="223"/>
      <c r="F83" s="224"/>
      <c r="G83" s="51"/>
    </row>
    <row r="84" spans="1:7" s="52" customFormat="1" ht="15" thickBot="1" x14ac:dyDescent="0.35">
      <c r="A84" s="111" t="s">
        <v>26</v>
      </c>
      <c r="B84" s="84">
        <f>SUM(B76:B83)</f>
        <v>38</v>
      </c>
      <c r="C84" s="111" t="str">
        <f xml:space="preserve"> setValueToTime(B84)</f>
        <v>3h10min</v>
      </c>
      <c r="D84" s="120"/>
      <c r="E84" s="225"/>
      <c r="F84" s="226"/>
      <c r="G84" s="51"/>
    </row>
    <row r="85" spans="1:7" s="59" customFormat="1" ht="15" thickBot="1" x14ac:dyDescent="0.35">
      <c r="A85" s="79"/>
      <c r="B85" s="79"/>
      <c r="C85" s="79"/>
      <c r="D85" s="79"/>
      <c r="E85" s="79"/>
      <c r="F85" s="79"/>
      <c r="G85" s="58"/>
    </row>
    <row r="86" spans="1:7" s="47" customFormat="1" ht="30" customHeight="1" thickBot="1" x14ac:dyDescent="0.3">
      <c r="A86" s="81" t="s">
        <v>9</v>
      </c>
      <c r="B86" s="163">
        <v>21</v>
      </c>
      <c r="C86" s="163"/>
      <c r="D86" s="82" t="s">
        <v>12</v>
      </c>
      <c r="E86" s="94">
        <v>45078</v>
      </c>
      <c r="F86" s="126" t="s">
        <v>60</v>
      </c>
      <c r="G86" s="46"/>
    </row>
    <row r="87" spans="1:7" s="47" customFormat="1" ht="30" customHeight="1" thickBot="1" x14ac:dyDescent="0.3">
      <c r="A87" s="80" t="s">
        <v>2</v>
      </c>
      <c r="B87" s="150" t="s">
        <v>39</v>
      </c>
      <c r="C87" s="151"/>
      <c r="D87" s="80" t="s">
        <v>10</v>
      </c>
      <c r="E87" s="227" t="s">
        <v>11</v>
      </c>
      <c r="F87" s="228"/>
      <c r="G87" s="46"/>
    </row>
    <row r="88" spans="1:7" s="52" customFormat="1" x14ac:dyDescent="0.3">
      <c r="A88" s="48" t="s">
        <v>156</v>
      </c>
      <c r="B88" s="49">
        <v>12</v>
      </c>
      <c r="C88" s="152" t="str">
        <f xml:space="preserve"> IF(B88="","",setValueToTime(B88))</f>
        <v>1h</v>
      </c>
      <c r="D88" s="50" t="s">
        <v>159</v>
      </c>
      <c r="E88" s="229"/>
      <c r="F88" s="230"/>
      <c r="G88" s="51"/>
    </row>
    <row r="89" spans="1:7" s="52" customFormat="1" x14ac:dyDescent="0.3">
      <c r="A89" s="53" t="s">
        <v>13</v>
      </c>
      <c r="B89" s="54">
        <v>6</v>
      </c>
      <c r="C89" s="153" t="str">
        <f t="shared" ref="C89:C95" si="7" xml:space="preserve"> IF(B89="","",setValueToTime(B89))</f>
        <v>0h30min</v>
      </c>
      <c r="D89" s="55" t="s">
        <v>96</v>
      </c>
      <c r="E89" s="221"/>
      <c r="F89" s="222"/>
      <c r="G89" s="51"/>
    </row>
    <row r="90" spans="1:7" s="52" customFormat="1" x14ac:dyDescent="0.3">
      <c r="A90" s="53" t="s">
        <v>14</v>
      </c>
      <c r="B90" s="54">
        <v>3</v>
      </c>
      <c r="C90" s="153" t="str">
        <f t="shared" si="7"/>
        <v>0h15min</v>
      </c>
      <c r="D90" s="55" t="s">
        <v>95</v>
      </c>
      <c r="E90" s="221"/>
      <c r="F90" s="222"/>
      <c r="G90" s="51"/>
    </row>
    <row r="91" spans="1:7" s="52" customFormat="1" x14ac:dyDescent="0.3">
      <c r="A91" s="53" t="s">
        <v>156</v>
      </c>
      <c r="B91" s="54">
        <v>27</v>
      </c>
      <c r="C91" s="153" t="str">
        <f t="shared" si="7"/>
        <v>2h15min</v>
      </c>
      <c r="D91" s="55" t="s">
        <v>160</v>
      </c>
      <c r="E91" s="221"/>
      <c r="F91" s="222"/>
      <c r="G91" s="51"/>
    </row>
    <row r="92" spans="1:7" s="52" customFormat="1" x14ac:dyDescent="0.3">
      <c r="A92" s="54"/>
      <c r="B92" s="54"/>
      <c r="C92" s="154" t="str">
        <f t="shared" si="7"/>
        <v/>
      </c>
      <c r="D92" s="55"/>
      <c r="E92" s="221"/>
      <c r="F92" s="222"/>
      <c r="G92" s="51"/>
    </row>
    <row r="93" spans="1:7" s="52" customFormat="1" x14ac:dyDescent="0.3">
      <c r="A93" s="54"/>
      <c r="B93" s="54"/>
      <c r="C93" s="154" t="str">
        <f t="shared" si="7"/>
        <v/>
      </c>
      <c r="D93" s="55"/>
      <c r="E93" s="221"/>
      <c r="F93" s="222"/>
      <c r="G93" s="51"/>
    </row>
    <row r="94" spans="1:7" s="52" customFormat="1" x14ac:dyDescent="0.3">
      <c r="A94" s="54"/>
      <c r="B94" s="54"/>
      <c r="C94" s="154" t="str">
        <f t="shared" si="7"/>
        <v/>
      </c>
      <c r="D94" s="55"/>
      <c r="E94" s="221"/>
      <c r="F94" s="222"/>
      <c r="G94" s="51"/>
    </row>
    <row r="95" spans="1:7" s="52" customFormat="1" ht="15" thickBot="1" x14ac:dyDescent="0.35">
      <c r="A95" s="56"/>
      <c r="B95" s="56"/>
      <c r="C95" s="155" t="str">
        <f t="shared" si="7"/>
        <v/>
      </c>
      <c r="D95" s="57"/>
      <c r="E95" s="223"/>
      <c r="F95" s="224"/>
      <c r="G95" s="51"/>
    </row>
    <row r="96" spans="1:7" s="52" customFormat="1" ht="15" thickBot="1" x14ac:dyDescent="0.35">
      <c r="A96" s="111" t="s">
        <v>26</v>
      </c>
      <c r="B96" s="84">
        <f>SUM(B88:B95)</f>
        <v>48</v>
      </c>
      <c r="C96" s="111" t="str">
        <f xml:space="preserve"> setValueToTime(B96)</f>
        <v>4h</v>
      </c>
      <c r="D96" s="120"/>
      <c r="E96" s="225"/>
      <c r="F96" s="226"/>
      <c r="G96" s="51"/>
    </row>
    <row r="97" spans="1:7" s="59" customFormat="1" ht="15" thickBot="1" x14ac:dyDescent="0.35">
      <c r="A97" s="79"/>
      <c r="B97" s="79"/>
      <c r="C97" s="79"/>
      <c r="D97" s="79"/>
      <c r="E97" s="79"/>
      <c r="F97" s="79"/>
      <c r="G97" s="58"/>
    </row>
    <row r="98" spans="1:7" s="47" customFormat="1" ht="30" customHeight="1" thickBot="1" x14ac:dyDescent="0.3">
      <c r="A98" s="81" t="s">
        <v>9</v>
      </c>
      <c r="B98" s="163">
        <v>20</v>
      </c>
      <c r="C98" s="163"/>
      <c r="D98" s="82" t="s">
        <v>12</v>
      </c>
      <c r="E98" s="94">
        <v>45077</v>
      </c>
      <c r="F98" s="126" t="s">
        <v>61</v>
      </c>
      <c r="G98" s="46"/>
    </row>
    <row r="99" spans="1:7" s="47" customFormat="1" ht="30" customHeight="1" thickBot="1" x14ac:dyDescent="0.3">
      <c r="A99" s="80" t="s">
        <v>2</v>
      </c>
      <c r="B99" s="150" t="s">
        <v>39</v>
      </c>
      <c r="C99" s="151"/>
      <c r="D99" s="80" t="s">
        <v>10</v>
      </c>
      <c r="E99" s="227" t="s">
        <v>11</v>
      </c>
      <c r="F99" s="228"/>
      <c r="G99" s="46"/>
    </row>
    <row r="100" spans="1:7" s="52" customFormat="1" x14ac:dyDescent="0.3">
      <c r="A100" s="48" t="s">
        <v>156</v>
      </c>
      <c r="B100" s="49">
        <v>7</v>
      </c>
      <c r="C100" s="152" t="str">
        <f xml:space="preserve"> IF(B100="","",setValueToTime(B100))</f>
        <v>0h35min</v>
      </c>
      <c r="D100" s="50" t="s">
        <v>157</v>
      </c>
      <c r="E100" s="229"/>
      <c r="F100" s="230"/>
      <c r="G100" s="51"/>
    </row>
    <row r="101" spans="1:7" s="52" customFormat="1" x14ac:dyDescent="0.3">
      <c r="A101" s="53" t="s">
        <v>13</v>
      </c>
      <c r="B101" s="54">
        <v>6</v>
      </c>
      <c r="C101" s="153" t="str">
        <f t="shared" ref="C101:C107" si="8" xml:space="preserve"> IF(B101="","",setValueToTime(B101))</f>
        <v>0h30min</v>
      </c>
      <c r="D101" s="55" t="s">
        <v>96</v>
      </c>
      <c r="E101" s="221"/>
      <c r="F101" s="222"/>
      <c r="G101" s="51"/>
    </row>
    <row r="102" spans="1:7" s="52" customFormat="1" x14ac:dyDescent="0.3">
      <c r="A102" s="53" t="s">
        <v>14</v>
      </c>
      <c r="B102" s="54">
        <v>3</v>
      </c>
      <c r="C102" s="153" t="str">
        <f t="shared" si="8"/>
        <v>0h15min</v>
      </c>
      <c r="D102" s="55" t="s">
        <v>95</v>
      </c>
      <c r="E102" s="221"/>
      <c r="F102" s="222"/>
      <c r="G102" s="51"/>
    </row>
    <row r="103" spans="1:7" s="52" customFormat="1" x14ac:dyDescent="0.3">
      <c r="A103" s="53" t="s">
        <v>156</v>
      </c>
      <c r="B103" s="54">
        <v>6</v>
      </c>
      <c r="C103" s="153" t="str">
        <f t="shared" si="8"/>
        <v>0h30min</v>
      </c>
      <c r="D103" s="55" t="s">
        <v>158</v>
      </c>
      <c r="E103" s="221"/>
      <c r="F103" s="222"/>
      <c r="G103" s="51"/>
    </row>
    <row r="104" spans="1:7" s="52" customFormat="1" ht="27" x14ac:dyDescent="0.3">
      <c r="A104" s="54" t="s">
        <v>156</v>
      </c>
      <c r="B104" s="54">
        <v>6</v>
      </c>
      <c r="C104" s="154" t="str">
        <f t="shared" si="8"/>
        <v>0h30min</v>
      </c>
      <c r="D104" s="55" t="s">
        <v>161</v>
      </c>
      <c r="E104" s="221"/>
      <c r="F104" s="222"/>
      <c r="G104" s="51"/>
    </row>
    <row r="105" spans="1:7" s="52" customFormat="1" x14ac:dyDescent="0.3">
      <c r="A105" s="54"/>
      <c r="B105" s="54"/>
      <c r="C105" s="154" t="str">
        <f t="shared" si="8"/>
        <v/>
      </c>
      <c r="D105" s="55"/>
      <c r="E105" s="221"/>
      <c r="F105" s="222"/>
      <c r="G105" s="51"/>
    </row>
    <row r="106" spans="1:7" s="52" customFormat="1" x14ac:dyDescent="0.3">
      <c r="A106" s="54"/>
      <c r="B106" s="54"/>
      <c r="C106" s="154" t="str">
        <f t="shared" si="8"/>
        <v/>
      </c>
      <c r="D106" s="55"/>
      <c r="E106" s="221"/>
      <c r="F106" s="222"/>
      <c r="G106" s="51"/>
    </row>
    <row r="107" spans="1:7" s="52" customFormat="1" ht="15" thickBot="1" x14ac:dyDescent="0.35">
      <c r="A107" s="56"/>
      <c r="B107" s="56"/>
      <c r="C107" s="155" t="str">
        <f t="shared" si="8"/>
        <v/>
      </c>
      <c r="D107" s="57"/>
      <c r="E107" s="223"/>
      <c r="F107" s="224"/>
      <c r="G107" s="51"/>
    </row>
    <row r="108" spans="1:7" s="52" customFormat="1" ht="15" thickBot="1" x14ac:dyDescent="0.35">
      <c r="A108" s="111" t="s">
        <v>26</v>
      </c>
      <c r="B108" s="84">
        <f>SUM(B100:B107)</f>
        <v>28</v>
      </c>
      <c r="C108" s="111" t="str">
        <f xml:space="preserve"> setValueToTime(B108)</f>
        <v>2h20min</v>
      </c>
      <c r="D108" s="120"/>
      <c r="E108" s="225"/>
      <c r="F108" s="226"/>
      <c r="G108" s="51"/>
    </row>
    <row r="109" spans="1:7" s="59" customFormat="1" ht="15" thickBot="1" x14ac:dyDescent="0.35">
      <c r="A109" s="79"/>
      <c r="B109" s="79"/>
      <c r="C109" s="79"/>
      <c r="D109" s="79"/>
      <c r="E109" s="79"/>
      <c r="F109" s="79"/>
      <c r="G109" s="58"/>
    </row>
    <row r="110" spans="1:7" s="47" customFormat="1" ht="30" customHeight="1" thickBot="1" x14ac:dyDescent="0.3">
      <c r="A110" s="81" t="s">
        <v>9</v>
      </c>
      <c r="B110" s="163">
        <v>19</v>
      </c>
      <c r="C110" s="163"/>
      <c r="D110" s="82" t="s">
        <v>12</v>
      </c>
      <c r="E110" s="94">
        <v>45076</v>
      </c>
      <c r="F110" s="126" t="s">
        <v>61</v>
      </c>
      <c r="G110" s="46"/>
    </row>
    <row r="111" spans="1:7" s="47" customFormat="1" ht="30" customHeight="1" thickBot="1" x14ac:dyDescent="0.3">
      <c r="A111" s="80" t="s">
        <v>2</v>
      </c>
      <c r="B111" s="150" t="s">
        <v>39</v>
      </c>
      <c r="C111" s="151"/>
      <c r="D111" s="80" t="s">
        <v>10</v>
      </c>
      <c r="E111" s="227" t="s">
        <v>11</v>
      </c>
      <c r="F111" s="228"/>
      <c r="G111" s="46"/>
    </row>
    <row r="112" spans="1:7" s="52" customFormat="1" x14ac:dyDescent="0.3">
      <c r="A112" s="48" t="s">
        <v>129</v>
      </c>
      <c r="B112" s="49">
        <v>6</v>
      </c>
      <c r="C112" s="152" t="str">
        <f xml:space="preserve"> IF(B112="","",setValueToTime(B112))</f>
        <v>0h30min</v>
      </c>
      <c r="D112" s="50" t="s">
        <v>151</v>
      </c>
      <c r="E112" s="229"/>
      <c r="F112" s="230"/>
      <c r="G112" s="51"/>
    </row>
    <row r="113" spans="1:7" s="52" customFormat="1" x14ac:dyDescent="0.3">
      <c r="A113" s="53" t="s">
        <v>13</v>
      </c>
      <c r="B113" s="54">
        <v>15</v>
      </c>
      <c r="C113" s="153" t="str">
        <f t="shared" ref="C113:C119" si="9" xml:space="preserve"> IF(B113="","",setValueToTime(B113))</f>
        <v>1h15min</v>
      </c>
      <c r="D113" s="55" t="s">
        <v>96</v>
      </c>
      <c r="E113" s="221"/>
      <c r="F113" s="222"/>
      <c r="G113" s="51"/>
    </row>
    <row r="114" spans="1:7" s="52" customFormat="1" x14ac:dyDescent="0.3">
      <c r="A114" s="53" t="s">
        <v>14</v>
      </c>
      <c r="B114" s="54">
        <v>3</v>
      </c>
      <c r="C114" s="153" t="str">
        <f t="shared" si="9"/>
        <v>0h15min</v>
      </c>
      <c r="D114" s="55" t="s">
        <v>95</v>
      </c>
      <c r="E114" s="221"/>
      <c r="F114" s="222"/>
      <c r="G114" s="51"/>
    </row>
    <row r="115" spans="1:7" s="52" customFormat="1" x14ac:dyDescent="0.3">
      <c r="A115" s="53" t="s">
        <v>152</v>
      </c>
      <c r="B115" s="54">
        <v>8</v>
      </c>
      <c r="C115" s="153" t="str">
        <f t="shared" si="9"/>
        <v>0h40min</v>
      </c>
      <c r="D115" s="55" t="s">
        <v>154</v>
      </c>
      <c r="E115" s="221"/>
      <c r="F115" s="222"/>
      <c r="G115" s="51"/>
    </row>
    <row r="116" spans="1:7" s="52" customFormat="1" x14ac:dyDescent="0.3">
      <c r="A116" s="54" t="s">
        <v>13</v>
      </c>
      <c r="B116" s="54">
        <v>6</v>
      </c>
      <c r="C116" s="154" t="str">
        <f t="shared" si="9"/>
        <v>0h30min</v>
      </c>
      <c r="D116" s="55" t="s">
        <v>155</v>
      </c>
      <c r="E116" s="221"/>
      <c r="F116" s="222"/>
      <c r="G116" s="51"/>
    </row>
    <row r="117" spans="1:7" s="52" customFormat="1" x14ac:dyDescent="0.3">
      <c r="A117" s="54" t="s">
        <v>100</v>
      </c>
      <c r="B117" s="54"/>
      <c r="C117" s="154" t="str">
        <f t="shared" si="9"/>
        <v/>
      </c>
      <c r="D117" s="55"/>
      <c r="E117" s="221"/>
      <c r="F117" s="222"/>
      <c r="G117" s="51"/>
    </row>
    <row r="118" spans="1:7" s="52" customFormat="1" x14ac:dyDescent="0.3">
      <c r="A118" s="54"/>
      <c r="B118" s="54"/>
      <c r="C118" s="154" t="str">
        <f t="shared" si="9"/>
        <v/>
      </c>
      <c r="D118" s="55"/>
      <c r="E118" s="221"/>
      <c r="F118" s="222"/>
      <c r="G118" s="51"/>
    </row>
    <row r="119" spans="1:7" s="52" customFormat="1" ht="15" thickBot="1" x14ac:dyDescent="0.35">
      <c r="A119" s="56"/>
      <c r="B119" s="56"/>
      <c r="C119" s="155" t="str">
        <f t="shared" si="9"/>
        <v/>
      </c>
      <c r="D119" s="57"/>
      <c r="E119" s="223"/>
      <c r="F119" s="224"/>
      <c r="G119" s="51"/>
    </row>
    <row r="120" spans="1:7" s="52" customFormat="1" ht="15" thickBot="1" x14ac:dyDescent="0.35">
      <c r="A120" s="111" t="s">
        <v>26</v>
      </c>
      <c r="B120" s="84">
        <f>SUM(B112:B119)</f>
        <v>38</v>
      </c>
      <c r="C120" s="111" t="str">
        <f xml:space="preserve"> setValueToTime(B120)</f>
        <v>3h10min</v>
      </c>
      <c r="D120" s="120"/>
      <c r="E120" s="225"/>
      <c r="F120" s="226"/>
      <c r="G120" s="51"/>
    </row>
    <row r="121" spans="1:7" s="59" customFormat="1" ht="15" thickBot="1" x14ac:dyDescent="0.35">
      <c r="A121" s="79"/>
      <c r="B121" s="79"/>
      <c r="C121" s="79"/>
      <c r="D121" s="79"/>
      <c r="E121" s="79"/>
      <c r="F121" s="79"/>
      <c r="G121" s="58"/>
    </row>
    <row r="122" spans="1:7" s="47" customFormat="1" ht="30" customHeight="1" thickBot="1" x14ac:dyDescent="0.3">
      <c r="A122" s="81" t="s">
        <v>9</v>
      </c>
      <c r="B122" s="163">
        <v>18</v>
      </c>
      <c r="C122" s="163"/>
      <c r="D122" s="82" t="s">
        <v>12</v>
      </c>
      <c r="E122" s="94">
        <v>45076</v>
      </c>
      <c r="F122" s="126" t="s">
        <v>60</v>
      </c>
      <c r="G122" s="46"/>
    </row>
    <row r="123" spans="1:7" s="47" customFormat="1" ht="30" customHeight="1" thickBot="1" x14ac:dyDescent="0.3">
      <c r="A123" s="80" t="s">
        <v>2</v>
      </c>
      <c r="B123" s="150" t="s">
        <v>39</v>
      </c>
      <c r="C123" s="151"/>
      <c r="D123" s="80" t="s">
        <v>10</v>
      </c>
      <c r="E123" s="227" t="s">
        <v>11</v>
      </c>
      <c r="F123" s="228"/>
      <c r="G123" s="46"/>
    </row>
    <row r="124" spans="1:7" s="52" customFormat="1" x14ac:dyDescent="0.3">
      <c r="A124" s="48" t="s">
        <v>149</v>
      </c>
      <c r="B124" s="49">
        <v>29</v>
      </c>
      <c r="C124" s="152" t="str">
        <f xml:space="preserve"> IF(B124="","",setValueToTime(B124))</f>
        <v>2h25min</v>
      </c>
      <c r="D124" s="50" t="s">
        <v>150</v>
      </c>
      <c r="E124" s="229"/>
      <c r="F124" s="230"/>
      <c r="G124" s="51"/>
    </row>
    <row r="125" spans="1:7" s="52" customFormat="1" x14ac:dyDescent="0.3">
      <c r="A125" s="53" t="s">
        <v>13</v>
      </c>
      <c r="B125" s="54">
        <v>6</v>
      </c>
      <c r="C125" s="153" t="str">
        <f t="shared" ref="C125:C131" si="10" xml:space="preserve"> IF(B125="","",setValueToTime(B125))</f>
        <v>0h30min</v>
      </c>
      <c r="D125" s="55" t="s">
        <v>96</v>
      </c>
      <c r="E125" s="221"/>
      <c r="F125" s="222"/>
      <c r="G125" s="51"/>
    </row>
    <row r="126" spans="1:7" s="52" customFormat="1" x14ac:dyDescent="0.3">
      <c r="A126" s="53" t="s">
        <v>14</v>
      </c>
      <c r="B126" s="54">
        <v>3</v>
      </c>
      <c r="C126" s="153" t="str">
        <f t="shared" si="10"/>
        <v>0h15min</v>
      </c>
      <c r="D126" s="55" t="s">
        <v>95</v>
      </c>
      <c r="E126" s="221"/>
      <c r="F126" s="222"/>
      <c r="G126" s="51"/>
    </row>
    <row r="127" spans="1:7" s="52" customFormat="1" x14ac:dyDescent="0.3">
      <c r="A127" s="53"/>
      <c r="B127" s="54"/>
      <c r="C127" s="153" t="str">
        <f t="shared" si="10"/>
        <v/>
      </c>
      <c r="D127" s="55"/>
      <c r="E127" s="221"/>
      <c r="F127" s="222"/>
      <c r="G127" s="51"/>
    </row>
    <row r="128" spans="1:7" s="52" customFormat="1" x14ac:dyDescent="0.3">
      <c r="A128" s="54"/>
      <c r="B128" s="54"/>
      <c r="C128" s="154" t="str">
        <f t="shared" si="10"/>
        <v/>
      </c>
      <c r="D128" s="55"/>
      <c r="E128" s="221"/>
      <c r="F128" s="222"/>
      <c r="G128" s="51"/>
    </row>
    <row r="129" spans="1:7" s="52" customFormat="1" x14ac:dyDescent="0.3">
      <c r="A129" s="54"/>
      <c r="B129" s="54"/>
      <c r="C129" s="154" t="str">
        <f t="shared" si="10"/>
        <v/>
      </c>
      <c r="D129" s="55"/>
      <c r="E129" s="221"/>
      <c r="F129" s="222"/>
      <c r="G129" s="51"/>
    </row>
    <row r="130" spans="1:7" s="52" customFormat="1" x14ac:dyDescent="0.3">
      <c r="A130" s="54"/>
      <c r="B130" s="54"/>
      <c r="C130" s="154" t="str">
        <f t="shared" si="10"/>
        <v/>
      </c>
      <c r="D130" s="55"/>
      <c r="E130" s="221"/>
      <c r="F130" s="222"/>
      <c r="G130" s="51"/>
    </row>
    <row r="131" spans="1:7" s="52" customFormat="1" ht="15" thickBot="1" x14ac:dyDescent="0.35">
      <c r="A131" s="56"/>
      <c r="B131" s="56"/>
      <c r="C131" s="155" t="str">
        <f t="shared" si="10"/>
        <v/>
      </c>
      <c r="D131" s="57"/>
      <c r="E131" s="223"/>
      <c r="F131" s="224"/>
      <c r="G131" s="51"/>
    </row>
    <row r="132" spans="1:7" s="52" customFormat="1" ht="15" thickBot="1" x14ac:dyDescent="0.35">
      <c r="A132" s="111" t="s">
        <v>26</v>
      </c>
      <c r="B132" s="84">
        <f>SUM(B124:B131)</f>
        <v>38</v>
      </c>
      <c r="C132" s="111" t="str">
        <f xml:space="preserve"> setValueToTime(B132)</f>
        <v>3h10min</v>
      </c>
      <c r="D132" s="120"/>
      <c r="E132" s="225"/>
      <c r="F132" s="226"/>
      <c r="G132" s="51"/>
    </row>
    <row r="133" spans="1:7" s="59" customFormat="1" ht="15" thickBot="1" x14ac:dyDescent="0.35">
      <c r="A133" s="79"/>
      <c r="B133" s="79"/>
      <c r="C133" s="79"/>
      <c r="D133" s="79"/>
      <c r="E133" s="79"/>
      <c r="F133" s="79"/>
      <c r="G133" s="58"/>
    </row>
    <row r="134" spans="1:7" s="47" customFormat="1" ht="30" customHeight="1" thickBot="1" x14ac:dyDescent="0.3">
      <c r="A134" s="81" t="s">
        <v>9</v>
      </c>
      <c r="B134" s="163">
        <v>17</v>
      </c>
      <c r="C134" s="163"/>
      <c r="D134" s="82" t="s">
        <v>12</v>
      </c>
      <c r="E134" s="94">
        <v>45072</v>
      </c>
      <c r="F134" s="126" t="s">
        <v>61</v>
      </c>
      <c r="G134" s="46"/>
    </row>
    <row r="135" spans="1:7" s="47" customFormat="1" ht="30" customHeight="1" thickBot="1" x14ac:dyDescent="0.3">
      <c r="A135" s="80" t="s">
        <v>2</v>
      </c>
      <c r="B135" s="150" t="s">
        <v>39</v>
      </c>
      <c r="C135" s="151"/>
      <c r="D135" s="80" t="s">
        <v>10</v>
      </c>
      <c r="E135" s="227" t="s">
        <v>11</v>
      </c>
      <c r="F135" s="228"/>
      <c r="G135" s="46"/>
    </row>
    <row r="136" spans="1:7" s="52" customFormat="1" ht="27" x14ac:dyDescent="0.3">
      <c r="A136" s="48" t="s">
        <v>129</v>
      </c>
      <c r="B136" s="49">
        <v>12</v>
      </c>
      <c r="C136" s="152" t="str">
        <f xml:space="preserve"> IF(B136="","",setValueToTime(B136))</f>
        <v>1h</v>
      </c>
      <c r="D136" s="50" t="s">
        <v>147</v>
      </c>
      <c r="E136" s="229"/>
      <c r="F136" s="230"/>
      <c r="G136" s="51"/>
    </row>
    <row r="137" spans="1:7" s="52" customFormat="1" x14ac:dyDescent="0.3">
      <c r="A137" s="53" t="s">
        <v>13</v>
      </c>
      <c r="B137" s="54">
        <v>6</v>
      </c>
      <c r="C137" s="153" t="str">
        <f t="shared" ref="C137:C143" si="11" xml:space="preserve"> IF(B137="","",setValueToTime(B137))</f>
        <v>0h30min</v>
      </c>
      <c r="D137" s="55" t="s">
        <v>96</v>
      </c>
      <c r="E137" s="221"/>
      <c r="F137" s="222"/>
      <c r="G137" s="51"/>
    </row>
    <row r="138" spans="1:7" s="52" customFormat="1" x14ac:dyDescent="0.3">
      <c r="A138" s="53" t="s">
        <v>14</v>
      </c>
      <c r="B138" s="54">
        <v>3</v>
      </c>
      <c r="C138" s="153" t="str">
        <f t="shared" si="11"/>
        <v>0h15min</v>
      </c>
      <c r="D138" s="55" t="s">
        <v>95</v>
      </c>
      <c r="E138" s="221"/>
      <c r="F138" s="222"/>
      <c r="G138" s="51"/>
    </row>
    <row r="139" spans="1:7" s="52" customFormat="1" x14ac:dyDescent="0.3">
      <c r="A139" s="53" t="s">
        <v>152</v>
      </c>
      <c r="B139" s="54">
        <v>17</v>
      </c>
      <c r="C139" s="153" t="str">
        <f t="shared" si="11"/>
        <v>1h25min</v>
      </c>
      <c r="D139" s="55" t="s">
        <v>148</v>
      </c>
      <c r="E139" s="221"/>
      <c r="F139" s="222"/>
      <c r="G139" s="51"/>
    </row>
    <row r="140" spans="1:7" s="52" customFormat="1" x14ac:dyDescent="0.3">
      <c r="A140" s="54"/>
      <c r="B140" s="54"/>
      <c r="C140" s="154" t="str">
        <f t="shared" si="11"/>
        <v/>
      </c>
      <c r="D140" s="55"/>
      <c r="E140" s="221"/>
      <c r="F140" s="222"/>
      <c r="G140" s="51"/>
    </row>
    <row r="141" spans="1:7" s="52" customFormat="1" x14ac:dyDescent="0.3">
      <c r="A141" s="54"/>
      <c r="B141" s="54"/>
      <c r="C141" s="154" t="str">
        <f t="shared" si="11"/>
        <v/>
      </c>
      <c r="D141" s="55"/>
      <c r="E141" s="221"/>
      <c r="F141" s="222"/>
      <c r="G141" s="51"/>
    </row>
    <row r="142" spans="1:7" s="52" customFormat="1" x14ac:dyDescent="0.3">
      <c r="A142" s="54"/>
      <c r="B142" s="54"/>
      <c r="C142" s="154" t="str">
        <f t="shared" si="11"/>
        <v/>
      </c>
      <c r="D142" s="55"/>
      <c r="E142" s="221"/>
      <c r="F142" s="222"/>
      <c r="G142" s="51"/>
    </row>
    <row r="143" spans="1:7" s="52" customFormat="1" ht="15" thickBot="1" x14ac:dyDescent="0.35">
      <c r="A143" s="56"/>
      <c r="B143" s="56"/>
      <c r="C143" s="155" t="str">
        <f t="shared" si="11"/>
        <v/>
      </c>
      <c r="D143" s="57"/>
      <c r="E143" s="223"/>
      <c r="F143" s="224"/>
      <c r="G143" s="51"/>
    </row>
    <row r="144" spans="1:7" s="52" customFormat="1" ht="15" thickBot="1" x14ac:dyDescent="0.35">
      <c r="A144" s="111" t="s">
        <v>26</v>
      </c>
      <c r="B144" s="84">
        <f>SUM(B136:B143)</f>
        <v>38</v>
      </c>
      <c r="C144" s="111" t="str">
        <f xml:space="preserve"> setValueToTime(B144)</f>
        <v>3h10min</v>
      </c>
      <c r="D144" s="120"/>
      <c r="E144" s="225"/>
      <c r="F144" s="226"/>
      <c r="G144" s="51"/>
    </row>
    <row r="145" spans="1:7" s="59" customFormat="1" ht="15" thickBot="1" x14ac:dyDescent="0.35">
      <c r="A145" s="79"/>
      <c r="B145" s="79"/>
      <c r="C145" s="79"/>
      <c r="D145" s="79"/>
      <c r="E145" s="79"/>
      <c r="F145" s="79"/>
      <c r="G145" s="58"/>
    </row>
    <row r="146" spans="1:7" s="47" customFormat="1" ht="30" customHeight="1" thickBot="1" x14ac:dyDescent="0.3">
      <c r="A146" s="81" t="s">
        <v>9</v>
      </c>
      <c r="B146" s="163">
        <v>16</v>
      </c>
      <c r="C146" s="163"/>
      <c r="D146" s="82" t="s">
        <v>12</v>
      </c>
      <c r="E146" s="94">
        <v>45072</v>
      </c>
      <c r="F146" s="126" t="s">
        <v>60</v>
      </c>
      <c r="G146" s="46"/>
    </row>
    <row r="147" spans="1:7" s="47" customFormat="1" ht="30" customHeight="1" thickBot="1" x14ac:dyDescent="0.3">
      <c r="A147" s="80" t="s">
        <v>2</v>
      </c>
      <c r="B147" s="150" t="s">
        <v>39</v>
      </c>
      <c r="C147" s="151"/>
      <c r="D147" s="80" t="s">
        <v>10</v>
      </c>
      <c r="E147" s="227" t="s">
        <v>11</v>
      </c>
      <c r="F147" s="228"/>
      <c r="G147" s="46"/>
    </row>
    <row r="148" spans="1:7" s="52" customFormat="1" ht="40.5" x14ac:dyDescent="0.3">
      <c r="A148" s="48" t="s">
        <v>143</v>
      </c>
      <c r="B148" s="49">
        <v>39</v>
      </c>
      <c r="C148" s="152" t="str">
        <f xml:space="preserve"> IF(B148="","",setValueToTime(B148))</f>
        <v>3h15min</v>
      </c>
      <c r="D148" s="174" t="s">
        <v>144</v>
      </c>
      <c r="E148" s="229"/>
      <c r="F148" s="230"/>
      <c r="G148" s="51"/>
    </row>
    <row r="149" spans="1:7" s="52" customFormat="1" x14ac:dyDescent="0.3">
      <c r="A149" s="53" t="s">
        <v>13</v>
      </c>
      <c r="B149" s="54">
        <v>6</v>
      </c>
      <c r="C149" s="153" t="str">
        <f t="shared" ref="C149:C155" si="12" xml:space="preserve"> IF(B149="","",setValueToTime(B149))</f>
        <v>0h30min</v>
      </c>
      <c r="D149" s="55" t="s">
        <v>96</v>
      </c>
      <c r="E149" s="221"/>
      <c r="F149" s="222"/>
      <c r="G149" s="51"/>
    </row>
    <row r="150" spans="1:7" s="52" customFormat="1" x14ac:dyDescent="0.3">
      <c r="A150" s="53" t="s">
        <v>14</v>
      </c>
      <c r="B150" s="54">
        <v>3</v>
      </c>
      <c r="C150" s="153" t="str">
        <f t="shared" si="12"/>
        <v>0h15min</v>
      </c>
      <c r="D150" s="55" t="s">
        <v>95</v>
      </c>
      <c r="E150" s="221"/>
      <c r="F150" s="222"/>
      <c r="G150" s="51"/>
    </row>
    <row r="151" spans="1:7" s="52" customFormat="1" x14ac:dyDescent="0.3">
      <c r="A151" s="53"/>
      <c r="B151" s="54"/>
      <c r="C151" s="153" t="str">
        <f t="shared" si="12"/>
        <v/>
      </c>
      <c r="D151" s="55"/>
      <c r="E151" s="221"/>
      <c r="F151" s="222"/>
      <c r="G151" s="51"/>
    </row>
    <row r="152" spans="1:7" s="52" customFormat="1" x14ac:dyDescent="0.3">
      <c r="A152" s="54"/>
      <c r="B152" s="54"/>
      <c r="C152" s="154" t="str">
        <f t="shared" si="12"/>
        <v/>
      </c>
      <c r="D152" s="55"/>
      <c r="E152" s="221"/>
      <c r="F152" s="222"/>
      <c r="G152" s="51"/>
    </row>
    <row r="153" spans="1:7" s="52" customFormat="1" x14ac:dyDescent="0.3">
      <c r="A153" s="54"/>
      <c r="B153" s="54"/>
      <c r="C153" s="154" t="str">
        <f t="shared" si="12"/>
        <v/>
      </c>
      <c r="D153" s="55"/>
      <c r="E153" s="221"/>
      <c r="F153" s="222"/>
      <c r="G153" s="51"/>
    </row>
    <row r="154" spans="1:7" s="52" customFormat="1" x14ac:dyDescent="0.3">
      <c r="A154" s="54"/>
      <c r="B154" s="54"/>
      <c r="C154" s="154" t="str">
        <f t="shared" si="12"/>
        <v/>
      </c>
      <c r="D154" s="55"/>
      <c r="E154" s="221"/>
      <c r="F154" s="222"/>
      <c r="G154" s="51"/>
    </row>
    <row r="155" spans="1:7" s="52" customFormat="1" ht="15" thickBot="1" x14ac:dyDescent="0.35">
      <c r="A155" s="56"/>
      <c r="B155" s="56"/>
      <c r="C155" s="155" t="str">
        <f t="shared" si="12"/>
        <v/>
      </c>
      <c r="D155" s="57"/>
      <c r="E155" s="223"/>
      <c r="F155" s="224"/>
      <c r="G155" s="51"/>
    </row>
    <row r="156" spans="1:7" s="52" customFormat="1" ht="15" thickBot="1" x14ac:dyDescent="0.35">
      <c r="A156" s="111" t="s">
        <v>26</v>
      </c>
      <c r="B156" s="84">
        <f>SUM(B148:B155)</f>
        <v>48</v>
      </c>
      <c r="C156" s="111" t="str">
        <f xml:space="preserve"> setValueToTime(B156)</f>
        <v>4h</v>
      </c>
      <c r="D156" s="120"/>
      <c r="E156" s="225"/>
      <c r="F156" s="226"/>
      <c r="G156" s="51"/>
    </row>
    <row r="157" spans="1:7" s="59" customFormat="1" ht="15" thickBot="1" x14ac:dyDescent="0.35">
      <c r="A157" s="79"/>
      <c r="B157" s="79"/>
      <c r="C157" s="79"/>
      <c r="D157" s="79"/>
      <c r="E157" s="79"/>
      <c r="F157" s="79"/>
      <c r="G157" s="58"/>
    </row>
    <row r="158" spans="1:7" s="47" customFormat="1" ht="30" customHeight="1" thickBot="1" x14ac:dyDescent="0.3">
      <c r="A158" s="81" t="s">
        <v>9</v>
      </c>
      <c r="B158" s="163">
        <v>15</v>
      </c>
      <c r="C158" s="163"/>
      <c r="D158" s="82" t="s">
        <v>12</v>
      </c>
      <c r="E158" s="94">
        <v>45071</v>
      </c>
      <c r="F158" s="126" t="s">
        <v>61</v>
      </c>
      <c r="G158" s="46"/>
    </row>
    <row r="159" spans="1:7" s="47" customFormat="1" ht="30" customHeight="1" thickBot="1" x14ac:dyDescent="0.3">
      <c r="A159" s="80" t="s">
        <v>2</v>
      </c>
      <c r="B159" s="150" t="s">
        <v>39</v>
      </c>
      <c r="C159" s="151"/>
      <c r="D159" s="80" t="s">
        <v>10</v>
      </c>
      <c r="E159" s="227" t="s">
        <v>11</v>
      </c>
      <c r="F159" s="228"/>
      <c r="G159" s="46"/>
    </row>
    <row r="160" spans="1:7" s="52" customFormat="1" x14ac:dyDescent="0.3">
      <c r="A160" s="48" t="s">
        <v>142</v>
      </c>
      <c r="B160" s="49">
        <v>9</v>
      </c>
      <c r="C160" s="152" t="str">
        <f xml:space="preserve"> IF(B160="","",setValueToTime(B160))</f>
        <v>0h45min</v>
      </c>
      <c r="D160" s="50" t="s">
        <v>146</v>
      </c>
      <c r="E160" s="229"/>
      <c r="F160" s="230"/>
      <c r="G160" s="51"/>
    </row>
    <row r="161" spans="1:7" s="52" customFormat="1" x14ac:dyDescent="0.3">
      <c r="A161" s="53" t="s">
        <v>13</v>
      </c>
      <c r="B161" s="54">
        <v>6</v>
      </c>
      <c r="C161" s="153" t="str">
        <f t="shared" ref="C161:C167" si="13" xml:space="preserve"> IF(B161="","",setValueToTime(B161))</f>
        <v>0h30min</v>
      </c>
      <c r="D161" s="55" t="s">
        <v>96</v>
      </c>
      <c r="E161" s="221"/>
      <c r="F161" s="222"/>
      <c r="G161" s="51"/>
    </row>
    <row r="162" spans="1:7" s="52" customFormat="1" x14ac:dyDescent="0.3">
      <c r="A162" s="53" t="s">
        <v>14</v>
      </c>
      <c r="B162" s="54">
        <v>3</v>
      </c>
      <c r="C162" s="153" t="str">
        <f t="shared" si="13"/>
        <v>0h15min</v>
      </c>
      <c r="D162" s="55" t="s">
        <v>95</v>
      </c>
      <c r="E162" s="221"/>
      <c r="F162" s="222"/>
      <c r="G162" s="51"/>
    </row>
    <row r="163" spans="1:7" s="52" customFormat="1" x14ac:dyDescent="0.3">
      <c r="A163" s="53" t="s">
        <v>142</v>
      </c>
      <c r="B163" s="54">
        <v>20</v>
      </c>
      <c r="C163" s="153" t="str">
        <f t="shared" si="13"/>
        <v>1h40min</v>
      </c>
      <c r="D163" s="55" t="s">
        <v>145</v>
      </c>
      <c r="E163" s="221"/>
      <c r="F163" s="222"/>
      <c r="G163" s="51"/>
    </row>
    <row r="164" spans="1:7" s="52" customFormat="1" x14ac:dyDescent="0.3">
      <c r="A164" s="54"/>
      <c r="B164" s="54"/>
      <c r="C164" s="154" t="str">
        <f t="shared" si="13"/>
        <v/>
      </c>
      <c r="D164" s="55"/>
      <c r="E164" s="221"/>
      <c r="F164" s="222"/>
      <c r="G164" s="51"/>
    </row>
    <row r="165" spans="1:7" s="52" customFormat="1" x14ac:dyDescent="0.3">
      <c r="A165" s="54"/>
      <c r="B165" s="54"/>
      <c r="C165" s="154" t="str">
        <f t="shared" si="13"/>
        <v/>
      </c>
      <c r="D165" s="55"/>
      <c r="E165" s="221"/>
      <c r="F165" s="222"/>
      <c r="G165" s="51"/>
    </row>
    <row r="166" spans="1:7" s="52" customFormat="1" x14ac:dyDescent="0.3">
      <c r="A166" s="54"/>
      <c r="B166" s="54"/>
      <c r="C166" s="154" t="str">
        <f t="shared" si="13"/>
        <v/>
      </c>
      <c r="D166" s="55"/>
      <c r="E166" s="221"/>
      <c r="F166" s="222"/>
      <c r="G166" s="51"/>
    </row>
    <row r="167" spans="1:7" s="52" customFormat="1" ht="15" thickBot="1" x14ac:dyDescent="0.35">
      <c r="A167" s="56"/>
      <c r="B167" s="56"/>
      <c r="C167" s="155" t="str">
        <f t="shared" si="13"/>
        <v/>
      </c>
      <c r="D167" s="57"/>
      <c r="E167" s="223"/>
      <c r="F167" s="224"/>
      <c r="G167" s="51"/>
    </row>
    <row r="168" spans="1:7" s="52" customFormat="1" ht="15" thickBot="1" x14ac:dyDescent="0.35">
      <c r="A168" s="111" t="s">
        <v>26</v>
      </c>
      <c r="B168" s="84">
        <f>SUM(B160:B167)</f>
        <v>38</v>
      </c>
      <c r="C168" s="111" t="str">
        <f xml:space="preserve"> setValueToTime(B168)</f>
        <v>3h10min</v>
      </c>
      <c r="D168" s="120"/>
      <c r="E168" s="225"/>
      <c r="F168" s="226"/>
      <c r="G168" s="51"/>
    </row>
    <row r="169" spans="1:7" s="59" customFormat="1" ht="15" thickBot="1" x14ac:dyDescent="0.35">
      <c r="A169" s="79"/>
      <c r="B169" s="79"/>
      <c r="C169" s="79"/>
      <c r="D169" s="79"/>
      <c r="E169" s="79"/>
      <c r="F169" s="79"/>
      <c r="G169" s="58"/>
    </row>
    <row r="170" spans="1:7" s="47" customFormat="1" ht="30" customHeight="1" thickBot="1" x14ac:dyDescent="0.3">
      <c r="A170" s="81" t="s">
        <v>9</v>
      </c>
      <c r="B170" s="163">
        <v>14</v>
      </c>
      <c r="C170" s="163"/>
      <c r="D170" s="82" t="s">
        <v>12</v>
      </c>
      <c r="E170" s="94">
        <v>45071</v>
      </c>
      <c r="F170" s="126" t="s">
        <v>60</v>
      </c>
      <c r="G170" s="46"/>
    </row>
    <row r="171" spans="1:7" s="47" customFormat="1" ht="30" customHeight="1" thickBot="1" x14ac:dyDescent="0.3">
      <c r="A171" s="80" t="s">
        <v>2</v>
      </c>
      <c r="B171" s="150" t="s">
        <v>39</v>
      </c>
      <c r="C171" s="151"/>
      <c r="D171" s="80" t="s">
        <v>10</v>
      </c>
      <c r="E171" s="227" t="s">
        <v>11</v>
      </c>
      <c r="F171" s="228"/>
      <c r="G171" s="46"/>
    </row>
    <row r="172" spans="1:7" s="52" customFormat="1" x14ac:dyDescent="0.3">
      <c r="A172" s="48" t="s">
        <v>172</v>
      </c>
      <c r="B172" s="49">
        <v>9</v>
      </c>
      <c r="C172" s="152" t="str">
        <f xml:space="preserve"> IF(B172="","",setValueToTime(B172))</f>
        <v>0h45min</v>
      </c>
      <c r="D172" s="50" t="s">
        <v>133</v>
      </c>
      <c r="E172" s="229"/>
      <c r="F172" s="230"/>
      <c r="G172" s="51"/>
    </row>
    <row r="173" spans="1:7" s="52" customFormat="1" x14ac:dyDescent="0.3">
      <c r="A173" s="53" t="s">
        <v>13</v>
      </c>
      <c r="B173" s="54">
        <v>6</v>
      </c>
      <c r="C173" s="153" t="str">
        <f t="shared" ref="C173:C179" si="14" xml:space="preserve"> IF(B173="","",setValueToTime(B173))</f>
        <v>0h30min</v>
      </c>
      <c r="D173" s="55" t="s">
        <v>96</v>
      </c>
      <c r="E173" s="221"/>
      <c r="F173" s="222"/>
      <c r="G173" s="51"/>
    </row>
    <row r="174" spans="1:7" s="52" customFormat="1" x14ac:dyDescent="0.3">
      <c r="A174" s="53" t="s">
        <v>14</v>
      </c>
      <c r="B174" s="54">
        <v>3</v>
      </c>
      <c r="C174" s="153" t="str">
        <f t="shared" si="14"/>
        <v>0h15min</v>
      </c>
      <c r="D174" s="55" t="s">
        <v>95</v>
      </c>
      <c r="E174" s="221"/>
      <c r="F174" s="222"/>
      <c r="G174" s="51"/>
    </row>
    <row r="175" spans="1:7" s="52" customFormat="1" x14ac:dyDescent="0.3">
      <c r="A175" s="53" t="s">
        <v>152</v>
      </c>
      <c r="B175" s="54">
        <v>9</v>
      </c>
      <c r="C175" s="153" t="str">
        <f t="shared" si="14"/>
        <v>0h45min</v>
      </c>
      <c r="D175" s="55" t="s">
        <v>153</v>
      </c>
      <c r="E175" s="221"/>
      <c r="F175" s="222"/>
      <c r="G175" s="51"/>
    </row>
    <row r="176" spans="1:7" s="52" customFormat="1" x14ac:dyDescent="0.3">
      <c r="A176" s="54" t="s">
        <v>139</v>
      </c>
      <c r="B176" s="54">
        <v>9</v>
      </c>
      <c r="C176" s="154" t="str">
        <f t="shared" si="14"/>
        <v>0h45min</v>
      </c>
      <c r="D176" s="55" t="s">
        <v>140</v>
      </c>
      <c r="E176" s="221"/>
      <c r="F176" s="222"/>
      <c r="G176" s="51"/>
    </row>
    <row r="177" spans="1:7" s="52" customFormat="1" x14ac:dyDescent="0.3">
      <c r="A177" s="54" t="s">
        <v>142</v>
      </c>
      <c r="B177" s="54">
        <v>12</v>
      </c>
      <c r="C177" s="154" t="str">
        <f t="shared" si="14"/>
        <v>1h</v>
      </c>
      <c r="D177" s="55" t="s">
        <v>141</v>
      </c>
      <c r="E177" s="221"/>
      <c r="F177" s="222"/>
      <c r="G177" s="51"/>
    </row>
    <row r="178" spans="1:7" s="52" customFormat="1" x14ac:dyDescent="0.3">
      <c r="A178" s="54"/>
      <c r="B178" s="54"/>
      <c r="C178" s="154" t="str">
        <f t="shared" si="14"/>
        <v/>
      </c>
      <c r="D178" s="55"/>
      <c r="E178" s="221"/>
      <c r="F178" s="222"/>
      <c r="G178" s="51"/>
    </row>
    <row r="179" spans="1:7" s="52" customFormat="1" ht="15" thickBot="1" x14ac:dyDescent="0.35">
      <c r="A179" s="56"/>
      <c r="B179" s="56"/>
      <c r="C179" s="155" t="str">
        <f t="shared" si="14"/>
        <v/>
      </c>
      <c r="D179" s="57"/>
      <c r="E179" s="223"/>
      <c r="F179" s="224"/>
      <c r="G179" s="51"/>
    </row>
    <row r="180" spans="1:7" s="52" customFormat="1" ht="15" thickBot="1" x14ac:dyDescent="0.35">
      <c r="A180" s="111" t="s">
        <v>26</v>
      </c>
      <c r="B180" s="84">
        <f>SUM(B172:B179)</f>
        <v>48</v>
      </c>
      <c r="C180" s="111" t="str">
        <f xml:space="preserve"> setValueToTime(B180)</f>
        <v>4h</v>
      </c>
      <c r="D180" s="120"/>
      <c r="E180" s="225"/>
      <c r="F180" s="226"/>
      <c r="G180" s="51"/>
    </row>
    <row r="181" spans="1:7" s="59" customFormat="1" ht="15" thickBot="1" x14ac:dyDescent="0.35">
      <c r="A181" s="79"/>
      <c r="B181" s="79"/>
      <c r="C181" s="79"/>
      <c r="D181" s="79"/>
      <c r="E181" s="79"/>
      <c r="F181" s="79"/>
      <c r="G181" s="58"/>
    </row>
    <row r="182" spans="1:7" s="47" customFormat="1" ht="30" customHeight="1" thickBot="1" x14ac:dyDescent="0.3">
      <c r="A182" s="81" t="s">
        <v>9</v>
      </c>
      <c r="B182" s="163">
        <v>13</v>
      </c>
      <c r="C182" s="163"/>
      <c r="D182" s="82" t="s">
        <v>12</v>
      </c>
      <c r="E182" s="94">
        <v>45070</v>
      </c>
      <c r="F182" s="126" t="s">
        <v>61</v>
      </c>
      <c r="G182" s="46"/>
    </row>
    <row r="183" spans="1:7" s="47" customFormat="1" ht="30" customHeight="1" thickBot="1" x14ac:dyDescent="0.3">
      <c r="A183" s="80" t="s">
        <v>2</v>
      </c>
      <c r="B183" s="150" t="s">
        <v>39</v>
      </c>
      <c r="C183" s="151"/>
      <c r="D183" s="80" t="s">
        <v>10</v>
      </c>
      <c r="E183" s="227" t="s">
        <v>11</v>
      </c>
      <c r="F183" s="228"/>
      <c r="G183" s="46"/>
    </row>
    <row r="184" spans="1:7" s="52" customFormat="1" ht="27" x14ac:dyDescent="0.3">
      <c r="A184" s="48" t="s">
        <v>129</v>
      </c>
      <c r="B184" s="49">
        <v>3</v>
      </c>
      <c r="C184" s="152" t="str">
        <f xml:space="preserve"> IF(B184="","",setValueToTime(B184))</f>
        <v>0h15min</v>
      </c>
      <c r="D184" s="50" t="s">
        <v>130</v>
      </c>
      <c r="E184" s="229"/>
      <c r="F184" s="230"/>
      <c r="G184" s="51"/>
    </row>
    <row r="185" spans="1:7" s="52" customFormat="1" x14ac:dyDescent="0.3">
      <c r="A185" s="53" t="s">
        <v>13</v>
      </c>
      <c r="B185" s="54">
        <v>6</v>
      </c>
      <c r="C185" s="153" t="str">
        <f t="shared" ref="C185:C191" si="15" xml:space="preserve"> IF(B185="","",setValueToTime(B185))</f>
        <v>0h30min</v>
      </c>
      <c r="D185" s="55" t="s">
        <v>96</v>
      </c>
      <c r="E185" s="221"/>
      <c r="F185" s="222"/>
      <c r="G185" s="51"/>
    </row>
    <row r="186" spans="1:7" s="52" customFormat="1" x14ac:dyDescent="0.3">
      <c r="A186" s="53" t="s">
        <v>14</v>
      </c>
      <c r="B186" s="54">
        <v>3</v>
      </c>
      <c r="C186" s="153" t="str">
        <f t="shared" si="15"/>
        <v>0h15min</v>
      </c>
      <c r="D186" s="55" t="s">
        <v>95</v>
      </c>
      <c r="E186" s="221"/>
      <c r="F186" s="222"/>
      <c r="G186" s="51"/>
    </row>
    <row r="187" spans="1:7" s="52" customFormat="1" ht="27" x14ac:dyDescent="0.3">
      <c r="A187" s="53" t="s">
        <v>129</v>
      </c>
      <c r="B187" s="54">
        <v>6</v>
      </c>
      <c r="C187" s="153" t="str">
        <f t="shared" si="15"/>
        <v>0h30min</v>
      </c>
      <c r="D187" s="55" t="s">
        <v>131</v>
      </c>
      <c r="E187" s="221"/>
      <c r="F187" s="222"/>
      <c r="G187" s="51"/>
    </row>
    <row r="188" spans="1:7" s="52" customFormat="1" x14ac:dyDescent="0.3">
      <c r="A188" s="54" t="s">
        <v>152</v>
      </c>
      <c r="B188" s="54">
        <v>6</v>
      </c>
      <c r="C188" s="154" t="str">
        <f t="shared" si="15"/>
        <v>0h30min</v>
      </c>
      <c r="D188" s="55" t="s">
        <v>132</v>
      </c>
      <c r="E188" s="221"/>
      <c r="F188" s="222"/>
      <c r="G188" s="51"/>
    </row>
    <row r="189" spans="1:7" s="52" customFormat="1" x14ac:dyDescent="0.3">
      <c r="A189" s="54" t="s">
        <v>117</v>
      </c>
      <c r="B189" s="54">
        <v>4</v>
      </c>
      <c r="C189" s="154" t="str">
        <f t="shared" si="15"/>
        <v>0h20min</v>
      </c>
      <c r="D189" s="55" t="s">
        <v>137</v>
      </c>
      <c r="E189" s="221"/>
      <c r="F189" s="222"/>
      <c r="G189" s="51"/>
    </row>
    <row r="190" spans="1:7" s="52" customFormat="1" x14ac:dyDescent="0.3">
      <c r="A190" s="54"/>
      <c r="B190" s="54"/>
      <c r="C190" s="154" t="str">
        <f t="shared" si="15"/>
        <v/>
      </c>
      <c r="D190" s="55"/>
      <c r="E190" s="221"/>
      <c r="F190" s="222"/>
      <c r="G190" s="51"/>
    </row>
    <row r="191" spans="1:7" s="52" customFormat="1" ht="15" thickBot="1" x14ac:dyDescent="0.35">
      <c r="A191" s="56"/>
      <c r="B191" s="56"/>
      <c r="C191" s="155" t="str">
        <f t="shared" si="15"/>
        <v/>
      </c>
      <c r="D191" s="57"/>
      <c r="E191" s="223"/>
      <c r="F191" s="224"/>
      <c r="G191" s="51"/>
    </row>
    <row r="192" spans="1:7" s="52" customFormat="1" ht="15" thickBot="1" x14ac:dyDescent="0.35">
      <c r="A192" s="111" t="s">
        <v>26</v>
      </c>
      <c r="B192" s="84">
        <f>SUM(B184:B191)</f>
        <v>28</v>
      </c>
      <c r="C192" s="111" t="str">
        <f xml:space="preserve"> setValueToTime(B192)</f>
        <v>2h20min</v>
      </c>
      <c r="D192" s="120"/>
      <c r="E192" s="225"/>
      <c r="F192" s="226"/>
      <c r="G192" s="51"/>
    </row>
    <row r="193" spans="1:7" s="59" customFormat="1" ht="15" thickBot="1" x14ac:dyDescent="0.35">
      <c r="A193" s="79"/>
      <c r="B193" s="79"/>
      <c r="C193" s="79"/>
      <c r="D193" s="79"/>
      <c r="E193" s="79"/>
      <c r="F193" s="79"/>
      <c r="G193" s="58"/>
    </row>
    <row r="194" spans="1:7" s="47" customFormat="1" ht="30" customHeight="1" thickBot="1" x14ac:dyDescent="0.3">
      <c r="A194" s="81" t="s">
        <v>9</v>
      </c>
      <c r="B194" s="163">
        <v>12</v>
      </c>
      <c r="C194" s="163"/>
      <c r="D194" s="82" t="s">
        <v>12</v>
      </c>
      <c r="E194" s="94">
        <v>45069</v>
      </c>
      <c r="F194" s="126" t="s">
        <v>61</v>
      </c>
      <c r="G194" s="46"/>
    </row>
    <row r="195" spans="1:7" s="47" customFormat="1" ht="30" customHeight="1" thickBot="1" x14ac:dyDescent="0.3">
      <c r="A195" s="80" t="s">
        <v>2</v>
      </c>
      <c r="B195" s="150" t="s">
        <v>39</v>
      </c>
      <c r="C195" s="151"/>
      <c r="D195" s="80" t="s">
        <v>10</v>
      </c>
      <c r="E195" s="227" t="s">
        <v>11</v>
      </c>
      <c r="F195" s="228"/>
      <c r="G195" s="46"/>
    </row>
    <row r="196" spans="1:7" s="52" customFormat="1" ht="40.5" x14ac:dyDescent="0.3">
      <c r="A196" s="48" t="s">
        <v>124</v>
      </c>
      <c r="B196" s="49">
        <v>9</v>
      </c>
      <c r="C196" s="152" t="str">
        <f xml:space="preserve"> IF(B196="","",setValueToTime(B196))</f>
        <v>0h45min</v>
      </c>
      <c r="D196" s="50" t="s">
        <v>125</v>
      </c>
      <c r="E196" s="229"/>
      <c r="F196" s="230"/>
      <c r="G196" s="51"/>
    </row>
    <row r="197" spans="1:7" s="52" customFormat="1" x14ac:dyDescent="0.3">
      <c r="A197" s="53" t="s">
        <v>13</v>
      </c>
      <c r="B197" s="54">
        <v>6</v>
      </c>
      <c r="C197" s="153" t="str">
        <f t="shared" ref="C197:C203" si="16" xml:space="preserve"> IF(B197="","",setValueToTime(B197))</f>
        <v>0h30min</v>
      </c>
      <c r="D197" s="55" t="s">
        <v>96</v>
      </c>
      <c r="E197" s="221"/>
      <c r="F197" s="222"/>
      <c r="G197" s="51"/>
    </row>
    <row r="198" spans="1:7" s="52" customFormat="1" x14ac:dyDescent="0.3">
      <c r="A198" s="53" t="s">
        <v>14</v>
      </c>
      <c r="B198" s="54">
        <v>3</v>
      </c>
      <c r="C198" s="153" t="str">
        <f t="shared" si="16"/>
        <v>0h15min</v>
      </c>
      <c r="D198" s="55" t="s">
        <v>95</v>
      </c>
      <c r="E198" s="221"/>
      <c r="F198" s="222"/>
      <c r="G198" s="51"/>
    </row>
    <row r="199" spans="1:7" s="52" customFormat="1" x14ac:dyDescent="0.3">
      <c r="A199" s="54" t="s">
        <v>117</v>
      </c>
      <c r="B199" s="54">
        <v>6</v>
      </c>
      <c r="C199" s="154" t="str">
        <f t="shared" si="16"/>
        <v>0h30min</v>
      </c>
      <c r="D199" s="55" t="s">
        <v>126</v>
      </c>
      <c r="E199" s="221"/>
      <c r="F199" s="222"/>
      <c r="G199" s="51"/>
    </row>
    <row r="200" spans="1:7" s="52" customFormat="1" ht="27" x14ac:dyDescent="0.3">
      <c r="A200" s="54" t="s">
        <v>124</v>
      </c>
      <c r="B200" s="54">
        <v>11</v>
      </c>
      <c r="C200" s="154" t="str">
        <f t="shared" si="16"/>
        <v>0h55min</v>
      </c>
      <c r="D200" s="55" t="s">
        <v>127</v>
      </c>
      <c r="E200" s="221"/>
      <c r="F200" s="222"/>
      <c r="G200" s="51"/>
    </row>
    <row r="201" spans="1:7" s="52" customFormat="1" ht="27" x14ac:dyDescent="0.3">
      <c r="A201" s="54" t="s">
        <v>124</v>
      </c>
      <c r="B201" s="54">
        <v>3</v>
      </c>
      <c r="C201" s="154" t="str">
        <f t="shared" si="16"/>
        <v>0h15min</v>
      </c>
      <c r="D201" s="55" t="s">
        <v>128</v>
      </c>
      <c r="E201" s="221"/>
      <c r="F201" s="222"/>
      <c r="G201" s="51"/>
    </row>
    <row r="202" spans="1:7" s="52" customFormat="1" x14ac:dyDescent="0.3">
      <c r="A202" s="54"/>
      <c r="B202" s="54"/>
      <c r="C202" s="154" t="str">
        <f t="shared" si="16"/>
        <v/>
      </c>
      <c r="D202" s="55"/>
      <c r="E202" s="221"/>
      <c r="F202" s="222"/>
      <c r="G202" s="51"/>
    </row>
    <row r="203" spans="1:7" s="52" customFormat="1" ht="15" thickBot="1" x14ac:dyDescent="0.35">
      <c r="A203" s="56"/>
      <c r="B203" s="56"/>
      <c r="C203" s="155" t="str">
        <f t="shared" si="16"/>
        <v/>
      </c>
      <c r="D203" s="57"/>
      <c r="E203" s="223"/>
      <c r="F203" s="224"/>
      <c r="G203" s="51"/>
    </row>
    <row r="204" spans="1:7" s="52" customFormat="1" ht="15" thickBot="1" x14ac:dyDescent="0.35">
      <c r="A204" s="111" t="s">
        <v>26</v>
      </c>
      <c r="B204" s="84">
        <f>SUM(B196:B203)</f>
        <v>38</v>
      </c>
      <c r="C204" s="111" t="str">
        <f xml:space="preserve"> setValueToTime(B204)</f>
        <v>3h10min</v>
      </c>
      <c r="D204" s="120"/>
      <c r="E204" s="225"/>
      <c r="F204" s="226"/>
      <c r="G204" s="51"/>
    </row>
    <row r="205" spans="1:7" s="59" customFormat="1" ht="15" thickBot="1" x14ac:dyDescent="0.35">
      <c r="A205" s="79"/>
      <c r="B205" s="79"/>
      <c r="C205" s="79"/>
      <c r="D205" s="79"/>
      <c r="E205" s="79"/>
      <c r="F205" s="79"/>
      <c r="G205" s="58"/>
    </row>
    <row r="206" spans="1:7" s="47" customFormat="1" ht="30" customHeight="1" thickBot="1" x14ac:dyDescent="0.3">
      <c r="A206" s="81" t="s">
        <v>9</v>
      </c>
      <c r="B206" s="163">
        <v>11</v>
      </c>
      <c r="C206" s="163"/>
      <c r="D206" s="82" t="s">
        <v>12</v>
      </c>
      <c r="E206" s="94">
        <v>45069</v>
      </c>
      <c r="F206" s="126" t="s">
        <v>60</v>
      </c>
      <c r="G206" s="46"/>
    </row>
    <row r="207" spans="1:7" s="47" customFormat="1" ht="30" customHeight="1" thickBot="1" x14ac:dyDescent="0.3">
      <c r="A207" s="80" t="s">
        <v>2</v>
      </c>
      <c r="B207" s="150" t="s">
        <v>39</v>
      </c>
      <c r="C207" s="151"/>
      <c r="D207" s="80" t="s">
        <v>10</v>
      </c>
      <c r="E207" s="227" t="s">
        <v>11</v>
      </c>
      <c r="F207" s="228"/>
      <c r="G207" s="46"/>
    </row>
    <row r="208" spans="1:7" s="52" customFormat="1" ht="27" x14ac:dyDescent="0.3">
      <c r="A208" s="48" t="s">
        <v>116</v>
      </c>
      <c r="B208" s="49">
        <v>12</v>
      </c>
      <c r="C208" s="152" t="str">
        <f xml:space="preserve"> IF(B208="","",setValueToTime(B208))</f>
        <v>1h</v>
      </c>
      <c r="D208" s="50" t="s">
        <v>118</v>
      </c>
      <c r="E208" s="229"/>
      <c r="F208" s="230"/>
      <c r="G208" s="51"/>
    </row>
    <row r="209" spans="1:7" s="52" customFormat="1" x14ac:dyDescent="0.3">
      <c r="A209" s="53" t="s">
        <v>13</v>
      </c>
      <c r="B209" s="54">
        <v>6</v>
      </c>
      <c r="C209" s="153" t="str">
        <f t="shared" ref="C209:C215" si="17" xml:space="preserve"> IF(B209="","",setValueToTime(B209))</f>
        <v>0h30min</v>
      </c>
      <c r="D209" s="55" t="s">
        <v>96</v>
      </c>
      <c r="E209" s="221"/>
      <c r="F209" s="222"/>
      <c r="G209" s="51"/>
    </row>
    <row r="210" spans="1:7" s="52" customFormat="1" x14ac:dyDescent="0.3">
      <c r="A210" s="53" t="s">
        <v>14</v>
      </c>
      <c r="B210" s="54">
        <v>3</v>
      </c>
      <c r="C210" s="153" t="str">
        <f t="shared" si="17"/>
        <v>0h15min</v>
      </c>
      <c r="D210" s="55" t="s">
        <v>95</v>
      </c>
      <c r="E210" s="221"/>
      <c r="F210" s="222"/>
      <c r="G210" s="51"/>
    </row>
    <row r="211" spans="1:7" s="52" customFormat="1" ht="27" x14ac:dyDescent="0.3">
      <c r="A211" s="53" t="s">
        <v>116</v>
      </c>
      <c r="B211" s="54">
        <v>17</v>
      </c>
      <c r="C211" s="153" t="str">
        <f t="shared" si="17"/>
        <v>1h25min</v>
      </c>
      <c r="D211" s="55" t="s">
        <v>119</v>
      </c>
      <c r="E211" s="221"/>
      <c r="F211" s="222"/>
      <c r="G211" s="51"/>
    </row>
    <row r="212" spans="1:7" s="52" customFormat="1" x14ac:dyDescent="0.3">
      <c r="A212" s="54" t="s">
        <v>100</v>
      </c>
      <c r="B212" s="54"/>
      <c r="C212" s="154" t="str">
        <f xml:space="preserve"> IF(B212="","",setValueToTime(B212))</f>
        <v/>
      </c>
      <c r="D212" s="55"/>
      <c r="E212" s="221"/>
      <c r="F212" s="222"/>
      <c r="G212" s="51"/>
    </row>
    <row r="213" spans="1:7" s="52" customFormat="1" x14ac:dyDescent="0.3">
      <c r="A213" s="54"/>
      <c r="B213" s="54"/>
      <c r="C213" s="154" t="str">
        <f t="shared" si="17"/>
        <v/>
      </c>
      <c r="D213" s="55"/>
      <c r="E213" s="221"/>
      <c r="F213" s="222"/>
      <c r="G213" s="51"/>
    </row>
    <row r="214" spans="1:7" s="52" customFormat="1" x14ac:dyDescent="0.3">
      <c r="A214" s="54"/>
      <c r="B214" s="54"/>
      <c r="C214" s="154" t="str">
        <f t="shared" si="17"/>
        <v/>
      </c>
      <c r="D214" s="55"/>
      <c r="E214" s="221"/>
      <c r="F214" s="222"/>
      <c r="G214" s="51"/>
    </row>
    <row r="215" spans="1:7" s="52" customFormat="1" ht="15" thickBot="1" x14ac:dyDescent="0.35">
      <c r="A215" s="56"/>
      <c r="B215" s="56"/>
      <c r="C215" s="155" t="str">
        <f t="shared" si="17"/>
        <v/>
      </c>
      <c r="D215" s="57"/>
      <c r="E215" s="223"/>
      <c r="F215" s="224"/>
      <c r="G215" s="51"/>
    </row>
    <row r="216" spans="1:7" s="52" customFormat="1" ht="15" thickBot="1" x14ac:dyDescent="0.35">
      <c r="A216" s="111" t="s">
        <v>26</v>
      </c>
      <c r="B216" s="84">
        <f>SUM(B208:B215)</f>
        <v>38</v>
      </c>
      <c r="C216" s="111" t="str">
        <f xml:space="preserve"> setValueToTime(B216)</f>
        <v>3h10min</v>
      </c>
      <c r="D216" s="120"/>
      <c r="E216" s="225"/>
      <c r="F216" s="226"/>
      <c r="G216" s="51"/>
    </row>
    <row r="217" spans="1:7" s="59" customFormat="1" ht="15" thickBot="1" x14ac:dyDescent="0.35">
      <c r="A217" s="79"/>
      <c r="B217" s="79"/>
      <c r="C217" s="79"/>
      <c r="D217" s="79"/>
      <c r="E217" s="79"/>
      <c r="F217" s="79"/>
      <c r="G217" s="58"/>
    </row>
    <row r="218" spans="1:7" s="47" customFormat="1" ht="30" customHeight="1" thickBot="1" x14ac:dyDescent="0.3">
      <c r="A218" s="81" t="s">
        <v>9</v>
      </c>
      <c r="B218" s="163">
        <v>10</v>
      </c>
      <c r="C218" s="163"/>
      <c r="D218" s="82" t="s">
        <v>12</v>
      </c>
      <c r="E218" s="94">
        <v>45068</v>
      </c>
      <c r="F218" s="126" t="s">
        <v>61</v>
      </c>
      <c r="G218" s="46"/>
    </row>
    <row r="219" spans="1:7" s="47" customFormat="1" ht="30" customHeight="1" thickBot="1" x14ac:dyDescent="0.3">
      <c r="A219" s="80" t="s">
        <v>2</v>
      </c>
      <c r="B219" s="150" t="s">
        <v>39</v>
      </c>
      <c r="C219" s="151"/>
      <c r="D219" s="80" t="s">
        <v>10</v>
      </c>
      <c r="E219" s="227" t="s">
        <v>11</v>
      </c>
      <c r="F219" s="228"/>
      <c r="G219" s="46"/>
    </row>
    <row r="220" spans="1:7" s="52" customFormat="1" ht="27" x14ac:dyDescent="0.3">
      <c r="A220" s="48" t="s">
        <v>117</v>
      </c>
      <c r="B220" s="49">
        <v>8</v>
      </c>
      <c r="C220" s="152" t="str">
        <f xml:space="preserve"> IF(B220="","",setValueToTime(B220))</f>
        <v>0h40min</v>
      </c>
      <c r="D220" s="50" t="s">
        <v>134</v>
      </c>
      <c r="E220" s="229"/>
      <c r="F220" s="230"/>
      <c r="G220" s="51"/>
    </row>
    <row r="221" spans="1:7" s="52" customFormat="1" x14ac:dyDescent="0.3">
      <c r="A221" s="53" t="s">
        <v>13</v>
      </c>
      <c r="B221" s="54">
        <v>6</v>
      </c>
      <c r="C221" s="153" t="str">
        <f t="shared" ref="C221:C227" si="18" xml:space="preserve"> IF(B221="","",setValueToTime(B221))</f>
        <v>0h30min</v>
      </c>
      <c r="D221" s="55" t="s">
        <v>96</v>
      </c>
      <c r="E221" s="221"/>
      <c r="F221" s="222"/>
      <c r="G221" s="51"/>
    </row>
    <row r="222" spans="1:7" s="52" customFormat="1" x14ac:dyDescent="0.3">
      <c r="A222" s="53" t="s">
        <v>14</v>
      </c>
      <c r="B222" s="54">
        <v>3</v>
      </c>
      <c r="C222" s="153" t="str">
        <f t="shared" si="18"/>
        <v>0h15min</v>
      </c>
      <c r="D222" s="55" t="s">
        <v>95</v>
      </c>
      <c r="E222" s="221"/>
      <c r="F222" s="222"/>
      <c r="G222" s="51"/>
    </row>
    <row r="223" spans="1:7" s="52" customFormat="1" x14ac:dyDescent="0.3">
      <c r="A223" s="53" t="s">
        <v>117</v>
      </c>
      <c r="B223" s="54">
        <v>6</v>
      </c>
      <c r="C223" s="153" t="str">
        <f t="shared" si="18"/>
        <v>0h30min</v>
      </c>
      <c r="D223" s="55" t="s">
        <v>120</v>
      </c>
      <c r="E223" s="221"/>
      <c r="F223" s="222"/>
      <c r="G223" s="51"/>
    </row>
    <row r="224" spans="1:7" s="52" customFormat="1" x14ac:dyDescent="0.3">
      <c r="A224" s="54" t="s">
        <v>117</v>
      </c>
      <c r="B224" s="54">
        <v>3</v>
      </c>
      <c r="C224" s="154" t="str">
        <f t="shared" si="18"/>
        <v>0h15min</v>
      </c>
      <c r="D224" s="55" t="s">
        <v>121</v>
      </c>
      <c r="E224" s="221"/>
      <c r="F224" s="222"/>
      <c r="G224" s="51"/>
    </row>
    <row r="225" spans="1:7" s="52" customFormat="1" x14ac:dyDescent="0.3">
      <c r="A225" s="54" t="s">
        <v>117</v>
      </c>
      <c r="B225" s="54">
        <v>3</v>
      </c>
      <c r="C225" s="154" t="str">
        <f t="shared" si="18"/>
        <v>0h15min</v>
      </c>
      <c r="D225" s="55" t="s">
        <v>122</v>
      </c>
      <c r="E225" s="221"/>
      <c r="F225" s="222"/>
      <c r="G225" s="51"/>
    </row>
    <row r="226" spans="1:7" s="52" customFormat="1" x14ac:dyDescent="0.3">
      <c r="A226" s="54" t="s">
        <v>117</v>
      </c>
      <c r="B226" s="54">
        <v>6</v>
      </c>
      <c r="C226" s="154" t="str">
        <f t="shared" si="18"/>
        <v>0h30min</v>
      </c>
      <c r="D226" s="55" t="s">
        <v>123</v>
      </c>
      <c r="E226" s="221"/>
      <c r="F226" s="222"/>
      <c r="G226" s="51"/>
    </row>
    <row r="227" spans="1:7" s="52" customFormat="1" ht="15" thickBot="1" x14ac:dyDescent="0.35">
      <c r="A227" s="56" t="s">
        <v>117</v>
      </c>
      <c r="B227" s="56">
        <v>3</v>
      </c>
      <c r="C227" s="155" t="str">
        <f t="shared" si="18"/>
        <v>0h15min</v>
      </c>
      <c r="D227" s="57" t="s">
        <v>138</v>
      </c>
      <c r="E227" s="223"/>
      <c r="F227" s="224"/>
      <c r="G227" s="51"/>
    </row>
    <row r="228" spans="1:7" s="52" customFormat="1" ht="15" thickBot="1" x14ac:dyDescent="0.35">
      <c r="A228" s="111" t="s">
        <v>26</v>
      </c>
      <c r="B228" s="84">
        <f>SUM(B220:B227)</f>
        <v>38</v>
      </c>
      <c r="C228" s="111" t="str">
        <f xml:space="preserve"> setValueToTime(B228)</f>
        <v>3h10min</v>
      </c>
      <c r="D228" s="120"/>
      <c r="E228" s="225"/>
      <c r="F228" s="226"/>
      <c r="G228" s="51"/>
    </row>
    <row r="229" spans="1:7" s="59" customFormat="1" ht="15" thickBot="1" x14ac:dyDescent="0.35">
      <c r="A229" s="79"/>
      <c r="B229" s="79"/>
      <c r="C229" s="79"/>
      <c r="D229" s="79"/>
      <c r="E229" s="79"/>
      <c r="F229" s="79"/>
      <c r="G229" s="58"/>
    </row>
    <row r="230" spans="1:7" s="47" customFormat="1" ht="30" customHeight="1" thickBot="1" x14ac:dyDescent="0.3">
      <c r="A230" s="81" t="s">
        <v>9</v>
      </c>
      <c r="B230" s="163">
        <v>9</v>
      </c>
      <c r="C230" s="163"/>
      <c r="D230" s="82" t="s">
        <v>12</v>
      </c>
      <c r="E230" s="94">
        <v>45068</v>
      </c>
      <c r="F230" s="126" t="s">
        <v>60</v>
      </c>
      <c r="G230" s="46"/>
    </row>
    <row r="231" spans="1:7" s="47" customFormat="1" ht="30" customHeight="1" thickBot="1" x14ac:dyDescent="0.3">
      <c r="A231" s="80" t="s">
        <v>2</v>
      </c>
      <c r="B231" s="150" t="s">
        <v>39</v>
      </c>
      <c r="C231" s="151"/>
      <c r="D231" s="80" t="s">
        <v>10</v>
      </c>
      <c r="E231" s="227" t="s">
        <v>11</v>
      </c>
      <c r="F231" s="228"/>
      <c r="G231" s="46"/>
    </row>
    <row r="232" spans="1:7" s="52" customFormat="1" x14ac:dyDescent="0.3">
      <c r="A232" s="48" t="s">
        <v>113</v>
      </c>
      <c r="B232" s="49">
        <v>17</v>
      </c>
      <c r="C232" s="152" t="str">
        <f xml:space="preserve"> IF(B232="","",setValueToTime(B232))</f>
        <v>1h25min</v>
      </c>
      <c r="D232" s="50" t="s">
        <v>115</v>
      </c>
      <c r="E232" s="229"/>
      <c r="F232" s="230"/>
      <c r="G232" s="51"/>
    </row>
    <row r="233" spans="1:7" s="52" customFormat="1" x14ac:dyDescent="0.3">
      <c r="A233" s="53" t="s">
        <v>13</v>
      </c>
      <c r="B233" s="54">
        <v>6</v>
      </c>
      <c r="C233" s="153" t="str">
        <f t="shared" ref="C233:C239" si="19" xml:space="preserve"> IF(B233="","",setValueToTime(B233))</f>
        <v>0h30min</v>
      </c>
      <c r="D233" s="55" t="s">
        <v>96</v>
      </c>
      <c r="E233" s="221"/>
      <c r="F233" s="222"/>
      <c r="G233" s="51"/>
    </row>
    <row r="234" spans="1:7" s="52" customFormat="1" x14ac:dyDescent="0.3">
      <c r="A234" s="53" t="s">
        <v>14</v>
      </c>
      <c r="B234" s="54">
        <v>3</v>
      </c>
      <c r="C234" s="153" t="str">
        <f xml:space="preserve"> IF(B234="","",setValueToTime(B234))</f>
        <v>0h15min</v>
      </c>
      <c r="D234" s="55" t="s">
        <v>95</v>
      </c>
      <c r="E234" s="221"/>
      <c r="F234" s="222"/>
      <c r="G234" s="51"/>
    </row>
    <row r="235" spans="1:7" s="52" customFormat="1" ht="27" x14ac:dyDescent="0.3">
      <c r="A235" s="53" t="s">
        <v>135</v>
      </c>
      <c r="B235" s="54">
        <v>12</v>
      </c>
      <c r="C235" s="153" t="str">
        <f t="shared" si="19"/>
        <v>1h</v>
      </c>
      <c r="D235" s="55" t="s">
        <v>136</v>
      </c>
      <c r="E235" s="221"/>
      <c r="F235" s="222"/>
      <c r="G235" s="51"/>
    </row>
    <row r="236" spans="1:7" s="52" customFormat="1" x14ac:dyDescent="0.3">
      <c r="A236" s="54"/>
      <c r="B236" s="54"/>
      <c r="C236" s="154" t="str">
        <f t="shared" si="19"/>
        <v/>
      </c>
      <c r="D236" s="55"/>
      <c r="E236" s="221"/>
      <c r="F236" s="222"/>
      <c r="G236" s="51"/>
    </row>
    <row r="237" spans="1:7" s="52" customFormat="1" x14ac:dyDescent="0.3">
      <c r="A237" s="54"/>
      <c r="B237" s="54"/>
      <c r="C237" s="154" t="str">
        <f t="shared" si="19"/>
        <v/>
      </c>
      <c r="D237" s="55"/>
      <c r="E237" s="221"/>
      <c r="F237" s="222"/>
      <c r="G237" s="51"/>
    </row>
    <row r="238" spans="1:7" s="52" customFormat="1" x14ac:dyDescent="0.3">
      <c r="A238" s="54"/>
      <c r="B238" s="54"/>
      <c r="C238" s="154" t="str">
        <f t="shared" si="19"/>
        <v/>
      </c>
      <c r="D238" s="55"/>
      <c r="E238" s="221"/>
      <c r="F238" s="222"/>
      <c r="G238" s="51"/>
    </row>
    <row r="239" spans="1:7" s="52" customFormat="1" ht="15" thickBot="1" x14ac:dyDescent="0.35">
      <c r="A239" s="56"/>
      <c r="B239" s="56"/>
      <c r="C239" s="155" t="str">
        <f t="shared" si="19"/>
        <v/>
      </c>
      <c r="D239" s="57"/>
      <c r="E239" s="223"/>
      <c r="F239" s="224"/>
      <c r="G239" s="51"/>
    </row>
    <row r="240" spans="1:7" s="52" customFormat="1" ht="15" thickBot="1" x14ac:dyDescent="0.35">
      <c r="A240" s="111" t="s">
        <v>26</v>
      </c>
      <c r="B240" s="84">
        <f>SUM(B232:B239)</f>
        <v>38</v>
      </c>
      <c r="C240" s="111" t="str">
        <f xml:space="preserve"> setValueToTime(B240)</f>
        <v>3h10min</v>
      </c>
      <c r="D240" s="120"/>
      <c r="E240" s="225"/>
      <c r="F240" s="226"/>
      <c r="G240" s="51"/>
    </row>
    <row r="241" spans="1:7" s="59" customFormat="1" ht="15" thickBot="1" x14ac:dyDescent="0.35">
      <c r="A241" s="79"/>
      <c r="B241" s="79"/>
      <c r="C241" s="79"/>
      <c r="D241" s="79"/>
      <c r="E241" s="79"/>
      <c r="F241" s="79"/>
      <c r="G241" s="58"/>
    </row>
    <row r="242" spans="1:7" s="47" customFormat="1" ht="30" customHeight="1" thickBot="1" x14ac:dyDescent="0.3">
      <c r="A242" s="81" t="s">
        <v>9</v>
      </c>
      <c r="B242" s="163">
        <v>8</v>
      </c>
      <c r="C242" s="163"/>
      <c r="D242" s="82" t="s">
        <v>12</v>
      </c>
      <c r="E242" s="94">
        <v>45063</v>
      </c>
      <c r="F242" s="126" t="s">
        <v>61</v>
      </c>
      <c r="G242" s="46"/>
    </row>
    <row r="243" spans="1:7" s="47" customFormat="1" ht="30" customHeight="1" thickBot="1" x14ac:dyDescent="0.3">
      <c r="A243" s="80" t="s">
        <v>2</v>
      </c>
      <c r="B243" s="150" t="s">
        <v>39</v>
      </c>
      <c r="C243" s="151"/>
      <c r="D243" s="80" t="s">
        <v>10</v>
      </c>
      <c r="E243" s="227" t="s">
        <v>11</v>
      </c>
      <c r="F243" s="228"/>
      <c r="G243" s="46"/>
    </row>
    <row r="244" spans="1:7" s="52" customFormat="1" x14ac:dyDescent="0.3">
      <c r="A244" s="48" t="s">
        <v>112</v>
      </c>
      <c r="B244" s="49">
        <v>9</v>
      </c>
      <c r="C244" s="152" t="str">
        <f xml:space="preserve"> IF(B244="","",setValueToTime(B244))</f>
        <v>0h45min</v>
      </c>
      <c r="D244" s="50" t="s">
        <v>110</v>
      </c>
      <c r="E244" s="229"/>
      <c r="F244" s="230"/>
      <c r="G244" s="51"/>
    </row>
    <row r="245" spans="1:7" s="52" customFormat="1" x14ac:dyDescent="0.3">
      <c r="A245" s="53" t="s">
        <v>13</v>
      </c>
      <c r="B245" s="54">
        <v>6</v>
      </c>
      <c r="C245" s="153" t="str">
        <f t="shared" ref="C245:C251" si="20" xml:space="preserve"> IF(B245="","",setValueToTime(B245))</f>
        <v>0h30min</v>
      </c>
      <c r="D245" s="55" t="s">
        <v>96</v>
      </c>
      <c r="E245" s="221"/>
      <c r="F245" s="222"/>
      <c r="G245" s="51"/>
    </row>
    <row r="246" spans="1:7" s="52" customFormat="1" x14ac:dyDescent="0.3">
      <c r="A246" s="53" t="s">
        <v>14</v>
      </c>
      <c r="B246" s="54">
        <v>3</v>
      </c>
      <c r="C246" s="153" t="str">
        <f t="shared" si="20"/>
        <v>0h15min</v>
      </c>
      <c r="D246" s="55" t="s">
        <v>95</v>
      </c>
      <c r="E246" s="221"/>
      <c r="F246" s="222"/>
      <c r="G246" s="51"/>
    </row>
    <row r="247" spans="1:7" s="52" customFormat="1" x14ac:dyDescent="0.3">
      <c r="A247" s="53" t="s">
        <v>112</v>
      </c>
      <c r="B247" s="54">
        <v>3</v>
      </c>
      <c r="C247" s="153" t="str">
        <f t="shared" si="20"/>
        <v>0h15min</v>
      </c>
      <c r="D247" s="55" t="s">
        <v>111</v>
      </c>
      <c r="E247" s="221"/>
      <c r="F247" s="222"/>
      <c r="G247" s="51"/>
    </row>
    <row r="248" spans="1:7" s="52" customFormat="1" x14ac:dyDescent="0.3">
      <c r="A248" s="54" t="s">
        <v>112</v>
      </c>
      <c r="B248" s="54">
        <v>7</v>
      </c>
      <c r="C248" s="154" t="str">
        <f t="shared" si="20"/>
        <v>0h35min</v>
      </c>
      <c r="D248" s="55" t="s">
        <v>114</v>
      </c>
      <c r="E248" s="221"/>
      <c r="F248" s="222"/>
      <c r="G248" s="51"/>
    </row>
    <row r="249" spans="1:7" s="52" customFormat="1" x14ac:dyDescent="0.3">
      <c r="A249" s="54"/>
      <c r="B249" s="54"/>
      <c r="C249" s="154" t="str">
        <f t="shared" si="20"/>
        <v/>
      </c>
      <c r="D249" s="55"/>
      <c r="E249" s="221"/>
      <c r="F249" s="222"/>
      <c r="G249" s="51"/>
    </row>
    <row r="250" spans="1:7" s="52" customFormat="1" x14ac:dyDescent="0.3">
      <c r="A250" s="54"/>
      <c r="B250" s="54"/>
      <c r="C250" s="154" t="str">
        <f t="shared" si="20"/>
        <v/>
      </c>
      <c r="D250" s="55"/>
      <c r="E250" s="221"/>
      <c r="F250" s="222"/>
      <c r="G250" s="51"/>
    </row>
    <row r="251" spans="1:7" s="52" customFormat="1" ht="15" thickBot="1" x14ac:dyDescent="0.35">
      <c r="A251" s="56"/>
      <c r="B251" s="56"/>
      <c r="C251" s="155" t="str">
        <f t="shared" si="20"/>
        <v/>
      </c>
      <c r="D251" s="57"/>
      <c r="E251" s="223"/>
      <c r="F251" s="224"/>
      <c r="G251" s="51"/>
    </row>
    <row r="252" spans="1:7" s="52" customFormat="1" ht="15" thickBot="1" x14ac:dyDescent="0.35">
      <c r="A252" s="111" t="s">
        <v>26</v>
      </c>
      <c r="B252" s="84">
        <f>SUM(B244:B251)</f>
        <v>28</v>
      </c>
      <c r="C252" s="111" t="str">
        <f xml:space="preserve"> setValueToTime(B252)</f>
        <v>2h20min</v>
      </c>
      <c r="D252" s="120"/>
      <c r="E252" s="225"/>
      <c r="F252" s="226"/>
      <c r="G252" s="51"/>
    </row>
    <row r="253" spans="1:7" s="59" customFormat="1" ht="15" thickBot="1" x14ac:dyDescent="0.35">
      <c r="A253" s="79"/>
      <c r="B253" s="79"/>
      <c r="C253" s="79"/>
      <c r="D253" s="79"/>
      <c r="E253" s="79"/>
      <c r="F253" s="79"/>
      <c r="G253" s="58"/>
    </row>
    <row r="254" spans="1:7" s="47" customFormat="1" ht="30" customHeight="1" thickBot="1" x14ac:dyDescent="0.3">
      <c r="A254" s="81" t="s">
        <v>9</v>
      </c>
      <c r="B254" s="163">
        <v>7</v>
      </c>
      <c r="C254" s="163"/>
      <c r="D254" s="82" t="s">
        <v>12</v>
      </c>
      <c r="E254" s="94">
        <v>45062</v>
      </c>
      <c r="F254" s="126" t="s">
        <v>61</v>
      </c>
      <c r="G254" s="46"/>
    </row>
    <row r="255" spans="1:7" s="47" customFormat="1" ht="30" customHeight="1" thickBot="1" x14ac:dyDescent="0.3">
      <c r="A255" s="80" t="s">
        <v>2</v>
      </c>
      <c r="B255" s="150" t="s">
        <v>39</v>
      </c>
      <c r="C255" s="151"/>
      <c r="D255" s="80" t="s">
        <v>10</v>
      </c>
      <c r="E255" s="227" t="s">
        <v>11</v>
      </c>
      <c r="F255" s="228"/>
      <c r="G255" s="46"/>
    </row>
    <row r="256" spans="1:7" s="52" customFormat="1" ht="27" x14ac:dyDescent="0.3">
      <c r="A256" s="48" t="s">
        <v>112</v>
      </c>
      <c r="B256" s="49">
        <v>10</v>
      </c>
      <c r="C256" s="152" t="str">
        <f xml:space="preserve"> IF(B256="","",setValueToTime(B256))</f>
        <v>0h50min</v>
      </c>
      <c r="D256" s="50" t="s">
        <v>103</v>
      </c>
      <c r="E256" s="229"/>
      <c r="F256" s="230"/>
      <c r="G256" s="51"/>
    </row>
    <row r="257" spans="1:7" s="52" customFormat="1" x14ac:dyDescent="0.3">
      <c r="A257" s="53" t="s">
        <v>13</v>
      </c>
      <c r="B257" s="54">
        <v>6</v>
      </c>
      <c r="C257" s="153" t="str">
        <f t="shared" ref="C257:C263" si="21" xml:space="preserve"> IF(B257="","",setValueToTime(B257))</f>
        <v>0h30min</v>
      </c>
      <c r="D257" s="55" t="s">
        <v>96</v>
      </c>
      <c r="E257" s="221"/>
      <c r="F257" s="222"/>
      <c r="G257" s="51"/>
    </row>
    <row r="258" spans="1:7" s="52" customFormat="1" x14ac:dyDescent="0.3">
      <c r="A258" s="53" t="s">
        <v>14</v>
      </c>
      <c r="B258" s="54">
        <v>3</v>
      </c>
      <c r="C258" s="153" t="str">
        <f t="shared" si="21"/>
        <v>0h15min</v>
      </c>
      <c r="D258" s="55" t="s">
        <v>95</v>
      </c>
      <c r="E258" s="221"/>
      <c r="F258" s="222"/>
      <c r="G258" s="51"/>
    </row>
    <row r="259" spans="1:7" s="52" customFormat="1" ht="27" x14ac:dyDescent="0.3">
      <c r="A259" s="53" t="s">
        <v>112</v>
      </c>
      <c r="B259" s="54">
        <v>9</v>
      </c>
      <c r="C259" s="153" t="str">
        <f t="shared" si="21"/>
        <v>0h45min</v>
      </c>
      <c r="D259" s="55" t="s">
        <v>105</v>
      </c>
      <c r="E259" s="221"/>
      <c r="F259" s="222"/>
      <c r="G259" s="51"/>
    </row>
    <row r="260" spans="1:7" s="52" customFormat="1" x14ac:dyDescent="0.3">
      <c r="A260" s="54" t="s">
        <v>112</v>
      </c>
      <c r="B260" s="54">
        <v>10</v>
      </c>
      <c r="C260" s="154" t="str">
        <f t="shared" si="21"/>
        <v>0h50min</v>
      </c>
      <c r="D260" s="55" t="s">
        <v>109</v>
      </c>
      <c r="E260" s="221"/>
      <c r="F260" s="222"/>
      <c r="G260" s="51"/>
    </row>
    <row r="261" spans="1:7" s="52" customFormat="1" x14ac:dyDescent="0.3">
      <c r="A261" s="54"/>
      <c r="B261" s="54"/>
      <c r="C261" s="154" t="str">
        <f t="shared" si="21"/>
        <v/>
      </c>
      <c r="D261" s="55"/>
      <c r="E261" s="221"/>
      <c r="F261" s="222"/>
      <c r="G261" s="51"/>
    </row>
    <row r="262" spans="1:7" s="52" customFormat="1" x14ac:dyDescent="0.3">
      <c r="A262" s="54"/>
      <c r="B262" s="54"/>
      <c r="C262" s="154" t="str">
        <f t="shared" si="21"/>
        <v/>
      </c>
      <c r="D262" s="55"/>
      <c r="E262" s="221"/>
      <c r="F262" s="222"/>
      <c r="G262" s="51"/>
    </row>
    <row r="263" spans="1:7" s="52" customFormat="1" ht="15" thickBot="1" x14ac:dyDescent="0.35">
      <c r="A263" s="56"/>
      <c r="B263" s="56"/>
      <c r="C263" s="155" t="str">
        <f t="shared" si="21"/>
        <v/>
      </c>
      <c r="D263" s="57"/>
      <c r="E263" s="223"/>
      <c r="F263" s="224"/>
      <c r="G263" s="51"/>
    </row>
    <row r="264" spans="1:7" s="52" customFormat="1" ht="15" thickBot="1" x14ac:dyDescent="0.35">
      <c r="A264" s="111" t="s">
        <v>26</v>
      </c>
      <c r="B264" s="84">
        <f>SUM(B256:B263)</f>
        <v>38</v>
      </c>
      <c r="C264" s="111" t="str">
        <f xml:space="preserve"> setValueToTime(B264)</f>
        <v>3h10min</v>
      </c>
      <c r="D264" s="120"/>
      <c r="E264" s="225"/>
      <c r="F264" s="226"/>
      <c r="G264" s="51"/>
    </row>
    <row r="265" spans="1:7" s="59" customFormat="1" ht="15" thickBot="1" x14ac:dyDescent="0.35">
      <c r="A265" s="79"/>
      <c r="B265" s="79"/>
      <c r="C265" s="79"/>
      <c r="D265" s="79"/>
      <c r="E265" s="79"/>
      <c r="F265" s="79"/>
      <c r="G265" s="58"/>
    </row>
    <row r="266" spans="1:7" s="47" customFormat="1" ht="30" customHeight="1" thickBot="1" x14ac:dyDescent="0.3">
      <c r="A266" s="81" t="s">
        <v>9</v>
      </c>
      <c r="B266" s="163">
        <v>6</v>
      </c>
      <c r="C266" s="163"/>
      <c r="D266" s="82" t="s">
        <v>12</v>
      </c>
      <c r="E266" s="94">
        <v>45062</v>
      </c>
      <c r="F266" s="126" t="s">
        <v>60</v>
      </c>
      <c r="G266" s="46"/>
    </row>
    <row r="267" spans="1:7" s="47" customFormat="1" ht="30" customHeight="1" thickBot="1" x14ac:dyDescent="0.3">
      <c r="A267" s="80" t="s">
        <v>2</v>
      </c>
      <c r="B267" s="150" t="s">
        <v>39</v>
      </c>
      <c r="C267" s="151"/>
      <c r="D267" s="80" t="s">
        <v>10</v>
      </c>
      <c r="E267" s="227" t="s">
        <v>11</v>
      </c>
      <c r="F267" s="228"/>
      <c r="G267" s="46"/>
    </row>
    <row r="268" spans="1:7" s="52" customFormat="1" ht="27" x14ac:dyDescent="0.3">
      <c r="A268" s="48" t="s">
        <v>112</v>
      </c>
      <c r="B268" s="49">
        <v>14</v>
      </c>
      <c r="C268" s="152" t="str">
        <f xml:space="preserve"> IF(B268="","",setValueToTime(B268))</f>
        <v>1h10min</v>
      </c>
      <c r="D268" s="174" t="s">
        <v>107</v>
      </c>
      <c r="E268" s="229"/>
      <c r="F268" s="230"/>
      <c r="G268" s="51"/>
    </row>
    <row r="269" spans="1:7" s="52" customFormat="1" x14ac:dyDescent="0.3">
      <c r="A269" s="53" t="s">
        <v>13</v>
      </c>
      <c r="B269" s="54">
        <v>6</v>
      </c>
      <c r="C269" s="153" t="str">
        <f t="shared" ref="C269:C275" si="22" xml:space="preserve"> IF(B269="","",setValueToTime(B269))</f>
        <v>0h30min</v>
      </c>
      <c r="D269" s="55" t="s">
        <v>96</v>
      </c>
      <c r="E269" s="221"/>
      <c r="F269" s="222"/>
      <c r="G269" s="51"/>
    </row>
    <row r="270" spans="1:7" s="52" customFormat="1" x14ac:dyDescent="0.3">
      <c r="A270" s="53" t="s">
        <v>14</v>
      </c>
      <c r="B270" s="54">
        <v>3</v>
      </c>
      <c r="C270" s="153" t="str">
        <f t="shared" si="22"/>
        <v>0h15min</v>
      </c>
      <c r="D270" s="55" t="s">
        <v>95</v>
      </c>
      <c r="E270" s="221"/>
      <c r="F270" s="222"/>
      <c r="G270" s="51"/>
    </row>
    <row r="271" spans="1:7" s="52" customFormat="1" x14ac:dyDescent="0.3">
      <c r="A271" s="53" t="s">
        <v>112</v>
      </c>
      <c r="B271" s="54">
        <v>9</v>
      </c>
      <c r="C271" s="153" t="str">
        <f t="shared" si="22"/>
        <v>0h45min</v>
      </c>
      <c r="D271" s="55" t="s">
        <v>101</v>
      </c>
      <c r="E271" s="221"/>
      <c r="F271" s="222"/>
      <c r="G271" s="51"/>
    </row>
    <row r="272" spans="1:7" s="52" customFormat="1" x14ac:dyDescent="0.3">
      <c r="A272" s="54" t="s">
        <v>112</v>
      </c>
      <c r="B272" s="54">
        <v>6</v>
      </c>
      <c r="C272" s="154" t="str">
        <f t="shared" si="22"/>
        <v>0h30min</v>
      </c>
      <c r="D272" s="55" t="s">
        <v>102</v>
      </c>
      <c r="E272" s="221"/>
      <c r="F272" s="222"/>
      <c r="G272" s="51"/>
    </row>
    <row r="273" spans="1:7" s="52" customFormat="1" x14ac:dyDescent="0.3">
      <c r="A273" s="54"/>
      <c r="B273" s="54"/>
      <c r="C273" s="154" t="str">
        <f t="shared" si="22"/>
        <v/>
      </c>
      <c r="D273" s="55"/>
      <c r="E273" s="221"/>
      <c r="F273" s="222"/>
      <c r="G273" s="51"/>
    </row>
    <row r="274" spans="1:7" s="52" customFormat="1" x14ac:dyDescent="0.3">
      <c r="A274" s="54"/>
      <c r="B274" s="54"/>
      <c r="C274" s="154" t="str">
        <f t="shared" si="22"/>
        <v/>
      </c>
      <c r="D274" s="55"/>
      <c r="E274" s="221"/>
      <c r="F274" s="222"/>
      <c r="G274" s="51"/>
    </row>
    <row r="275" spans="1:7" s="52" customFormat="1" ht="15" thickBot="1" x14ac:dyDescent="0.35">
      <c r="A275" s="56"/>
      <c r="B275" s="56"/>
      <c r="C275" s="155" t="str">
        <f t="shared" si="22"/>
        <v/>
      </c>
      <c r="D275" s="57"/>
      <c r="E275" s="223"/>
      <c r="F275" s="224"/>
      <c r="G275" s="51"/>
    </row>
    <row r="276" spans="1:7" s="52" customFormat="1" ht="15" thickBot="1" x14ac:dyDescent="0.35">
      <c r="A276" s="111" t="s">
        <v>26</v>
      </c>
      <c r="B276" s="84">
        <f>SUM(B268:B275)</f>
        <v>38</v>
      </c>
      <c r="C276" s="111" t="str">
        <f xml:space="preserve"> setValueToTime(B276)</f>
        <v>3h10min</v>
      </c>
      <c r="D276" s="120"/>
      <c r="E276" s="225"/>
      <c r="F276" s="226"/>
      <c r="G276" s="51"/>
    </row>
    <row r="277" spans="1:7" s="59" customFormat="1" ht="15" thickBot="1" x14ac:dyDescent="0.35">
      <c r="A277" s="79"/>
      <c r="B277" s="79"/>
      <c r="C277" s="79"/>
      <c r="D277" s="79"/>
      <c r="E277" s="79"/>
      <c r="F277" s="79"/>
      <c r="G277" s="58"/>
    </row>
    <row r="278" spans="1:7" s="47" customFormat="1" ht="30" customHeight="1" thickBot="1" x14ac:dyDescent="0.3">
      <c r="A278" s="81" t="s">
        <v>9</v>
      </c>
      <c r="B278" s="163">
        <v>5</v>
      </c>
      <c r="C278" s="163"/>
      <c r="D278" s="82" t="s">
        <v>12</v>
      </c>
      <c r="E278" s="94">
        <v>45061</v>
      </c>
      <c r="F278" s="126" t="s">
        <v>61</v>
      </c>
      <c r="G278" s="46"/>
    </row>
    <row r="279" spans="1:7" s="47" customFormat="1" ht="30" customHeight="1" thickBot="1" x14ac:dyDescent="0.3">
      <c r="A279" s="80" t="s">
        <v>2</v>
      </c>
      <c r="B279" s="150" t="s">
        <v>39</v>
      </c>
      <c r="C279" s="151"/>
      <c r="D279" s="80" t="s">
        <v>10</v>
      </c>
      <c r="E279" s="227" t="s">
        <v>11</v>
      </c>
      <c r="F279" s="228"/>
      <c r="G279" s="46"/>
    </row>
    <row r="280" spans="1:7" s="52" customFormat="1" ht="27" x14ac:dyDescent="0.3">
      <c r="A280" s="48" t="s">
        <v>97</v>
      </c>
      <c r="B280" s="49">
        <v>14</v>
      </c>
      <c r="C280" s="152" t="str">
        <f xml:space="preserve"> IF(B280="","",setValueToTime(B280))</f>
        <v>1h10min</v>
      </c>
      <c r="D280" s="50" t="s">
        <v>98</v>
      </c>
      <c r="E280" s="229"/>
      <c r="F280" s="230"/>
      <c r="G280" s="51"/>
    </row>
    <row r="281" spans="1:7" s="52" customFormat="1" x14ac:dyDescent="0.3">
      <c r="A281" s="53" t="s">
        <v>13</v>
      </c>
      <c r="B281" s="54">
        <v>21</v>
      </c>
      <c r="C281" s="153" t="str">
        <f t="shared" ref="C281:C287" si="23" xml:space="preserve"> IF(B281="","",setValueToTime(B281))</f>
        <v>1h45min</v>
      </c>
      <c r="D281" s="173" t="s">
        <v>99</v>
      </c>
      <c r="E281" s="221"/>
      <c r="F281" s="222"/>
      <c r="G281" s="51"/>
    </row>
    <row r="282" spans="1:7" s="52" customFormat="1" x14ac:dyDescent="0.3">
      <c r="A282" s="53" t="s">
        <v>14</v>
      </c>
      <c r="B282" s="54">
        <v>3</v>
      </c>
      <c r="C282" s="153" t="str">
        <f t="shared" si="23"/>
        <v>0h15min</v>
      </c>
      <c r="D282" s="55" t="s">
        <v>95</v>
      </c>
      <c r="E282" s="221"/>
      <c r="F282" s="222"/>
      <c r="G282" s="51"/>
    </row>
    <row r="283" spans="1:7" s="52" customFormat="1" x14ac:dyDescent="0.3">
      <c r="A283" s="53"/>
      <c r="B283" s="54"/>
      <c r="C283" s="153" t="str">
        <f xml:space="preserve"> IF(B283="","",setValueToTime(B283))</f>
        <v/>
      </c>
      <c r="D283" s="55"/>
      <c r="E283" s="221"/>
      <c r="F283" s="222"/>
      <c r="G283" s="51"/>
    </row>
    <row r="284" spans="1:7" s="52" customFormat="1" x14ac:dyDescent="0.3">
      <c r="A284" s="54"/>
      <c r="B284" s="54"/>
      <c r="C284" s="154" t="str">
        <f t="shared" si="23"/>
        <v/>
      </c>
      <c r="D284" s="55"/>
      <c r="E284" s="221"/>
      <c r="F284" s="222"/>
      <c r="G284" s="51"/>
    </row>
    <row r="285" spans="1:7" s="52" customFormat="1" x14ac:dyDescent="0.3">
      <c r="A285" s="54"/>
      <c r="B285" s="54"/>
      <c r="C285" s="154" t="str">
        <f t="shared" si="23"/>
        <v/>
      </c>
      <c r="D285" s="55"/>
      <c r="E285" s="221"/>
      <c r="F285" s="222"/>
      <c r="G285" s="51"/>
    </row>
    <row r="286" spans="1:7" s="52" customFormat="1" x14ac:dyDescent="0.3">
      <c r="A286" s="54"/>
      <c r="B286" s="54"/>
      <c r="C286" s="154" t="str">
        <f t="shared" si="23"/>
        <v/>
      </c>
      <c r="D286" s="55"/>
      <c r="E286" s="221"/>
      <c r="F286" s="222"/>
      <c r="G286" s="51"/>
    </row>
    <row r="287" spans="1:7" s="52" customFormat="1" ht="15" thickBot="1" x14ac:dyDescent="0.35">
      <c r="A287" s="56"/>
      <c r="B287" s="56"/>
      <c r="C287" s="155" t="str">
        <f t="shared" si="23"/>
        <v/>
      </c>
      <c r="D287" s="57"/>
      <c r="E287" s="223"/>
      <c r="F287" s="224"/>
      <c r="G287" s="51"/>
    </row>
    <row r="288" spans="1:7" s="52" customFormat="1" ht="15" thickBot="1" x14ac:dyDescent="0.35">
      <c r="A288" s="111" t="s">
        <v>26</v>
      </c>
      <c r="B288" s="84">
        <f>SUM(B280:B287)</f>
        <v>38</v>
      </c>
      <c r="C288" s="111" t="str">
        <f xml:space="preserve"> setValueToTime(B288)</f>
        <v>3h10min</v>
      </c>
      <c r="D288" s="120"/>
      <c r="E288" s="225"/>
      <c r="F288" s="226"/>
      <c r="G288" s="51"/>
    </row>
    <row r="289" spans="1:7" s="59" customFormat="1" ht="15" thickBot="1" x14ac:dyDescent="0.35">
      <c r="A289" s="79"/>
      <c r="B289" s="79"/>
      <c r="C289" s="79"/>
      <c r="D289" s="79"/>
      <c r="E289" s="79"/>
      <c r="F289" s="79"/>
      <c r="G289" s="58"/>
    </row>
    <row r="290" spans="1:7" s="47" customFormat="1" ht="30" customHeight="1" thickBot="1" x14ac:dyDescent="0.3">
      <c r="A290" s="81" t="s">
        <v>9</v>
      </c>
      <c r="B290" s="163">
        <v>4</v>
      </c>
      <c r="C290" s="163"/>
      <c r="D290" s="82" t="s">
        <v>12</v>
      </c>
      <c r="E290" s="94">
        <v>45061</v>
      </c>
      <c r="F290" s="126" t="s">
        <v>60</v>
      </c>
      <c r="G290" s="46"/>
    </row>
    <row r="291" spans="1:7" s="47" customFormat="1" ht="30" customHeight="1" thickBot="1" x14ac:dyDescent="0.3">
      <c r="A291" s="80" t="s">
        <v>2</v>
      </c>
      <c r="B291" s="150" t="s">
        <v>39</v>
      </c>
      <c r="C291" s="151"/>
      <c r="D291" s="80" t="s">
        <v>10</v>
      </c>
      <c r="E291" s="227" t="s">
        <v>11</v>
      </c>
      <c r="F291" s="228"/>
      <c r="G291" s="46"/>
    </row>
    <row r="292" spans="1:7" s="52" customFormat="1" ht="27" x14ac:dyDescent="0.3">
      <c r="A292" s="48" t="s">
        <v>94</v>
      </c>
      <c r="B292" s="49">
        <v>29</v>
      </c>
      <c r="C292" s="152" t="str">
        <f xml:space="preserve"> IF(B292="","",setValueToTime(B292))</f>
        <v>2h25min</v>
      </c>
      <c r="D292" s="50" t="s">
        <v>104</v>
      </c>
      <c r="E292" s="229"/>
      <c r="F292" s="230"/>
      <c r="G292" s="51"/>
    </row>
    <row r="293" spans="1:7" s="52" customFormat="1" x14ac:dyDescent="0.3">
      <c r="A293" s="53" t="s">
        <v>13</v>
      </c>
      <c r="B293" s="54">
        <v>6</v>
      </c>
      <c r="C293" s="153" t="str">
        <f t="shared" ref="C293:C299" si="24" xml:space="preserve"> IF(B293="","",setValueToTime(B293))</f>
        <v>0h30min</v>
      </c>
      <c r="D293" s="55" t="s">
        <v>96</v>
      </c>
      <c r="E293" s="221"/>
      <c r="F293" s="222"/>
      <c r="G293" s="51"/>
    </row>
    <row r="294" spans="1:7" s="52" customFormat="1" x14ac:dyDescent="0.3">
      <c r="A294" s="53" t="s">
        <v>14</v>
      </c>
      <c r="B294" s="54">
        <v>3</v>
      </c>
      <c r="C294" s="153" t="str">
        <f t="shared" si="24"/>
        <v>0h15min</v>
      </c>
      <c r="D294" s="55" t="s">
        <v>95</v>
      </c>
      <c r="E294" s="221"/>
      <c r="F294" s="222"/>
      <c r="G294" s="51"/>
    </row>
    <row r="295" spans="1:7" s="52" customFormat="1" x14ac:dyDescent="0.3">
      <c r="A295" s="53"/>
      <c r="B295" s="54"/>
      <c r="C295" s="153" t="str">
        <f t="shared" si="24"/>
        <v/>
      </c>
      <c r="D295" s="55"/>
      <c r="E295" s="221"/>
      <c r="F295" s="222"/>
      <c r="G295" s="51"/>
    </row>
    <row r="296" spans="1:7" s="52" customFormat="1" x14ac:dyDescent="0.3">
      <c r="A296" s="54"/>
      <c r="B296" s="54"/>
      <c r="C296" s="154" t="str">
        <f t="shared" si="24"/>
        <v/>
      </c>
      <c r="D296" s="55"/>
      <c r="E296" s="221"/>
      <c r="F296" s="222"/>
      <c r="G296" s="51"/>
    </row>
    <row r="297" spans="1:7" s="52" customFormat="1" x14ac:dyDescent="0.3">
      <c r="A297" s="54"/>
      <c r="B297" s="54"/>
      <c r="C297" s="154" t="str">
        <f t="shared" si="24"/>
        <v/>
      </c>
      <c r="D297" s="55"/>
      <c r="E297" s="221"/>
      <c r="F297" s="222"/>
      <c r="G297" s="51"/>
    </row>
    <row r="298" spans="1:7" s="52" customFormat="1" x14ac:dyDescent="0.3">
      <c r="A298" s="54"/>
      <c r="B298" s="54"/>
      <c r="C298" s="154" t="str">
        <f t="shared" si="24"/>
        <v/>
      </c>
      <c r="D298" s="55"/>
      <c r="E298" s="221"/>
      <c r="F298" s="222"/>
      <c r="G298" s="51"/>
    </row>
    <row r="299" spans="1:7" s="52" customFormat="1" ht="15" thickBot="1" x14ac:dyDescent="0.35">
      <c r="A299" s="56"/>
      <c r="B299" s="56"/>
      <c r="C299" s="155" t="str">
        <f t="shared" si="24"/>
        <v/>
      </c>
      <c r="D299" s="57"/>
      <c r="E299" s="223"/>
      <c r="F299" s="224"/>
      <c r="G299" s="51"/>
    </row>
    <row r="300" spans="1:7" s="52" customFormat="1" ht="15" thickBot="1" x14ac:dyDescent="0.35">
      <c r="A300" s="111" t="s">
        <v>26</v>
      </c>
      <c r="B300" s="84">
        <f>SUM(B292:B299)</f>
        <v>38</v>
      </c>
      <c r="C300" s="111" t="str">
        <f xml:space="preserve"> setValueToTime(B300)</f>
        <v>3h10min</v>
      </c>
      <c r="D300" s="120"/>
      <c r="E300" s="225"/>
      <c r="F300" s="226"/>
      <c r="G300" s="51"/>
    </row>
    <row r="301" spans="1:7" s="59" customFormat="1" ht="15" thickBot="1" x14ac:dyDescent="0.35">
      <c r="A301" s="79"/>
      <c r="B301" s="79"/>
      <c r="C301" s="79"/>
      <c r="D301" s="79"/>
      <c r="E301" s="79"/>
      <c r="F301" s="79"/>
      <c r="G301" s="58"/>
    </row>
    <row r="302" spans="1:7" s="47" customFormat="1" ht="30" customHeight="1" thickBot="1" x14ac:dyDescent="0.3">
      <c r="A302" s="81" t="s">
        <v>9</v>
      </c>
      <c r="B302" s="163">
        <v>3</v>
      </c>
      <c r="C302" s="163"/>
      <c r="D302" s="82" t="s">
        <v>12</v>
      </c>
      <c r="E302" s="94">
        <v>45058</v>
      </c>
      <c r="F302" s="126" t="s">
        <v>61</v>
      </c>
      <c r="G302" s="46"/>
    </row>
    <row r="303" spans="1:7" s="47" customFormat="1" ht="30" customHeight="1" thickBot="1" x14ac:dyDescent="0.3">
      <c r="A303" s="80" t="s">
        <v>2</v>
      </c>
      <c r="B303" s="150" t="s">
        <v>39</v>
      </c>
      <c r="C303" s="151"/>
      <c r="D303" s="80" t="s">
        <v>10</v>
      </c>
      <c r="E303" s="227" t="s">
        <v>11</v>
      </c>
      <c r="F303" s="228"/>
      <c r="G303" s="46"/>
    </row>
    <row r="304" spans="1:7" s="52" customFormat="1" ht="27" x14ac:dyDescent="0.3">
      <c r="A304" s="48" t="s">
        <v>93</v>
      </c>
      <c r="B304" s="49">
        <v>27</v>
      </c>
      <c r="C304" s="152" t="str">
        <f xml:space="preserve"> IF(B304="","",setValueToTime(B304))</f>
        <v>2h15min</v>
      </c>
      <c r="D304" s="50" t="s">
        <v>108</v>
      </c>
      <c r="E304" s="231"/>
      <c r="F304" s="230"/>
      <c r="G304" s="51"/>
    </row>
    <row r="305" spans="1:7" s="52" customFormat="1" x14ac:dyDescent="0.3">
      <c r="A305" s="53" t="s">
        <v>13</v>
      </c>
      <c r="B305" s="54">
        <v>7</v>
      </c>
      <c r="C305" s="153" t="str">
        <f t="shared" ref="C305:C311" si="25" xml:space="preserve"> IF(B305="","",setValueToTime(B305))</f>
        <v>0h35min</v>
      </c>
      <c r="D305" s="55" t="s">
        <v>96</v>
      </c>
      <c r="E305" s="221"/>
      <c r="F305" s="222"/>
      <c r="G305" s="51"/>
    </row>
    <row r="306" spans="1:7" s="52" customFormat="1" x14ac:dyDescent="0.3">
      <c r="A306" s="53" t="s">
        <v>14</v>
      </c>
      <c r="B306" s="54">
        <v>4</v>
      </c>
      <c r="C306" s="153" t="str">
        <f t="shared" si="25"/>
        <v>0h20min</v>
      </c>
      <c r="D306" s="55" t="s">
        <v>95</v>
      </c>
      <c r="E306" s="221"/>
      <c r="F306" s="222"/>
      <c r="G306" s="51"/>
    </row>
    <row r="307" spans="1:7" s="52" customFormat="1" x14ac:dyDescent="0.3">
      <c r="A307" s="53"/>
      <c r="B307" s="54"/>
      <c r="C307" s="153" t="str">
        <f t="shared" si="25"/>
        <v/>
      </c>
      <c r="D307" s="55"/>
      <c r="E307" s="221"/>
      <c r="F307" s="222"/>
      <c r="G307" s="51"/>
    </row>
    <row r="308" spans="1:7" s="52" customFormat="1" x14ac:dyDescent="0.3">
      <c r="A308" s="54"/>
      <c r="B308" s="54"/>
      <c r="C308" s="154" t="str">
        <f t="shared" si="25"/>
        <v/>
      </c>
      <c r="D308" s="55"/>
      <c r="E308" s="221"/>
      <c r="F308" s="222"/>
      <c r="G308" s="51"/>
    </row>
    <row r="309" spans="1:7" s="52" customFormat="1" x14ac:dyDescent="0.3">
      <c r="A309" s="54"/>
      <c r="B309" s="54"/>
      <c r="C309" s="154" t="str">
        <f t="shared" si="25"/>
        <v/>
      </c>
      <c r="D309" s="55"/>
      <c r="E309" s="221"/>
      <c r="F309" s="222"/>
      <c r="G309" s="51"/>
    </row>
    <row r="310" spans="1:7" s="52" customFormat="1" x14ac:dyDescent="0.3">
      <c r="A310" s="54"/>
      <c r="B310" s="54"/>
      <c r="C310" s="154" t="str">
        <f t="shared" si="25"/>
        <v/>
      </c>
      <c r="D310" s="55"/>
      <c r="E310" s="221"/>
      <c r="F310" s="222"/>
      <c r="G310" s="51"/>
    </row>
    <row r="311" spans="1:7" s="52" customFormat="1" ht="15" thickBot="1" x14ac:dyDescent="0.35">
      <c r="A311" s="56"/>
      <c r="B311" s="56"/>
      <c r="C311" s="155" t="str">
        <f t="shared" si="25"/>
        <v/>
      </c>
      <c r="D311" s="57"/>
      <c r="E311" s="223"/>
      <c r="F311" s="224"/>
      <c r="G311" s="51"/>
    </row>
    <row r="312" spans="1:7" s="52" customFormat="1" ht="15" thickBot="1" x14ac:dyDescent="0.35">
      <c r="A312" s="111" t="s">
        <v>26</v>
      </c>
      <c r="B312" s="84">
        <f>SUM(B304:B311)</f>
        <v>38</v>
      </c>
      <c r="C312" s="111" t="str">
        <f xml:space="preserve"> setValueToTime(B312)</f>
        <v>3h10min</v>
      </c>
      <c r="D312" s="120"/>
      <c r="E312" s="225"/>
      <c r="F312" s="226"/>
      <c r="G312" s="51"/>
    </row>
    <row r="313" spans="1:7" s="59" customFormat="1" ht="15" thickBot="1" x14ac:dyDescent="0.35">
      <c r="A313" s="79"/>
      <c r="B313" s="79"/>
      <c r="C313" s="79"/>
      <c r="D313" s="79"/>
      <c r="E313" s="79"/>
      <c r="F313" s="79"/>
      <c r="G313" s="58"/>
    </row>
    <row r="314" spans="1:7" s="47" customFormat="1" ht="30" customHeight="1" thickBot="1" x14ac:dyDescent="0.3">
      <c r="A314" s="81" t="s">
        <v>9</v>
      </c>
      <c r="B314" s="163">
        <v>2</v>
      </c>
      <c r="C314" s="163"/>
      <c r="D314" s="82" t="s">
        <v>12</v>
      </c>
      <c r="E314" s="94">
        <v>45058</v>
      </c>
      <c r="F314" s="126" t="s">
        <v>60</v>
      </c>
      <c r="G314" s="46"/>
    </row>
    <row r="315" spans="1:7" s="47" customFormat="1" ht="30" customHeight="1" thickBot="1" x14ac:dyDescent="0.3">
      <c r="A315" s="80" t="s">
        <v>2</v>
      </c>
      <c r="B315" s="150" t="s">
        <v>39</v>
      </c>
      <c r="C315" s="151"/>
      <c r="D315" s="80" t="s">
        <v>10</v>
      </c>
      <c r="E315" s="227" t="s">
        <v>11</v>
      </c>
      <c r="F315" s="228"/>
      <c r="G315" s="46"/>
    </row>
    <row r="316" spans="1:7" s="52" customFormat="1" x14ac:dyDescent="0.3">
      <c r="A316" s="48" t="s">
        <v>29</v>
      </c>
      <c r="B316" s="49">
        <v>40</v>
      </c>
      <c r="C316" s="152" t="str">
        <f xml:space="preserve"> IF(B316="","",setValueToTime(B316))</f>
        <v>3h20min</v>
      </c>
      <c r="D316" s="55" t="s">
        <v>90</v>
      </c>
      <c r="E316" s="232" t="s">
        <v>91</v>
      </c>
      <c r="F316" s="222"/>
      <c r="G316" s="51"/>
    </row>
    <row r="317" spans="1:7" s="52" customFormat="1" x14ac:dyDescent="0.3">
      <c r="A317" s="53" t="s">
        <v>29</v>
      </c>
      <c r="B317" s="54">
        <v>7</v>
      </c>
      <c r="C317" s="153" t="str">
        <f t="shared" ref="C317:C323" si="26" xml:space="preserve"> IF(B317="","",setValueToTime(B317))</f>
        <v>0h35min</v>
      </c>
      <c r="D317" s="55" t="s">
        <v>92</v>
      </c>
      <c r="E317" s="221"/>
      <c r="F317" s="222"/>
      <c r="G317" s="51"/>
    </row>
    <row r="318" spans="1:7" s="52" customFormat="1" x14ac:dyDescent="0.3">
      <c r="A318" s="53" t="s">
        <v>172</v>
      </c>
      <c r="B318" s="54">
        <v>1</v>
      </c>
      <c r="C318" s="153" t="str">
        <f t="shared" si="26"/>
        <v>0h5min</v>
      </c>
      <c r="D318" s="55" t="s">
        <v>173</v>
      </c>
      <c r="E318" s="221"/>
      <c r="F318" s="222"/>
      <c r="G318" s="51"/>
    </row>
    <row r="319" spans="1:7" s="52" customFormat="1" x14ac:dyDescent="0.3">
      <c r="A319" s="53"/>
      <c r="B319" s="54"/>
      <c r="C319" s="153" t="str">
        <f t="shared" si="26"/>
        <v/>
      </c>
      <c r="D319" s="55"/>
      <c r="E319" s="221"/>
      <c r="F319" s="222"/>
      <c r="G319" s="51"/>
    </row>
    <row r="320" spans="1:7" s="52" customFormat="1" x14ac:dyDescent="0.3">
      <c r="A320" s="54"/>
      <c r="B320" s="54"/>
      <c r="C320" s="154" t="str">
        <f t="shared" si="26"/>
        <v/>
      </c>
      <c r="D320" s="55"/>
      <c r="E320" s="221"/>
      <c r="F320" s="222"/>
      <c r="G320" s="51"/>
    </row>
    <row r="321" spans="1:7" s="52" customFormat="1" x14ac:dyDescent="0.3">
      <c r="A321" s="54"/>
      <c r="B321" s="54"/>
      <c r="C321" s="154" t="str">
        <f t="shared" si="26"/>
        <v/>
      </c>
      <c r="D321" s="55"/>
      <c r="E321" s="221"/>
      <c r="F321" s="222"/>
      <c r="G321" s="51"/>
    </row>
    <row r="322" spans="1:7" s="52" customFormat="1" x14ac:dyDescent="0.3">
      <c r="A322" s="54"/>
      <c r="B322" s="54"/>
      <c r="C322" s="154" t="str">
        <f t="shared" si="26"/>
        <v/>
      </c>
      <c r="D322" s="55"/>
      <c r="E322" s="221"/>
      <c r="F322" s="222"/>
      <c r="G322" s="51"/>
    </row>
    <row r="323" spans="1:7" s="52" customFormat="1" ht="15" thickBot="1" x14ac:dyDescent="0.35">
      <c r="A323" s="56"/>
      <c r="B323" s="56"/>
      <c r="C323" s="155" t="str">
        <f t="shared" si="26"/>
        <v/>
      </c>
      <c r="D323" s="57"/>
      <c r="E323" s="223"/>
      <c r="F323" s="224"/>
      <c r="G323" s="51"/>
    </row>
    <row r="324" spans="1:7" s="52" customFormat="1" ht="15" thickBot="1" x14ac:dyDescent="0.35">
      <c r="A324" s="111" t="s">
        <v>26</v>
      </c>
      <c r="B324" s="84">
        <f>SUM(B316:B323)</f>
        <v>48</v>
      </c>
      <c r="C324" s="111" t="str">
        <f xml:space="preserve"> setValueToTime(B324)</f>
        <v>4h</v>
      </c>
      <c r="D324" s="120"/>
      <c r="E324" s="225"/>
      <c r="F324" s="226"/>
      <c r="G324" s="51"/>
    </row>
    <row r="325" spans="1:7" s="59" customFormat="1" ht="15" thickBot="1" x14ac:dyDescent="0.35">
      <c r="A325" s="79"/>
      <c r="B325" s="79"/>
      <c r="C325" s="79"/>
      <c r="D325" s="79"/>
      <c r="E325" s="79"/>
      <c r="F325" s="79"/>
      <c r="G325" s="58"/>
    </row>
    <row r="326" spans="1:7" s="47" customFormat="1" ht="30" customHeight="1" thickBot="1" x14ac:dyDescent="0.3">
      <c r="A326" s="81" t="s">
        <v>9</v>
      </c>
      <c r="B326" s="163">
        <v>1</v>
      </c>
      <c r="C326" s="163"/>
      <c r="D326" s="82" t="s">
        <v>12</v>
      </c>
      <c r="E326" s="94">
        <v>45057</v>
      </c>
      <c r="F326" s="126" t="s">
        <v>61</v>
      </c>
      <c r="G326" s="46"/>
    </row>
    <row r="327" spans="1:7" s="47" customFormat="1" ht="30" customHeight="1" thickBot="1" x14ac:dyDescent="0.3">
      <c r="A327" s="80" t="s">
        <v>2</v>
      </c>
      <c r="B327" s="150" t="s">
        <v>39</v>
      </c>
      <c r="C327" s="151"/>
      <c r="D327" s="80" t="s">
        <v>10</v>
      </c>
      <c r="E327" s="227" t="s">
        <v>11</v>
      </c>
      <c r="F327" s="228"/>
      <c r="G327" s="46"/>
    </row>
    <row r="328" spans="1:7" s="52" customFormat="1" x14ac:dyDescent="0.3">
      <c r="A328" s="48" t="s">
        <v>29</v>
      </c>
      <c r="B328" s="49">
        <v>10</v>
      </c>
      <c r="C328" s="152" t="str">
        <f xml:space="preserve"> IF(B328="","",setValueToTime(B328))</f>
        <v>0h50min</v>
      </c>
      <c r="D328" s="50" t="s">
        <v>106</v>
      </c>
      <c r="E328" s="229"/>
      <c r="F328" s="230"/>
      <c r="G328" s="51"/>
    </row>
    <row r="329" spans="1:7" s="52" customFormat="1" x14ac:dyDescent="0.3">
      <c r="A329" s="53" t="s">
        <v>29</v>
      </c>
      <c r="B329" s="54">
        <v>28</v>
      </c>
      <c r="C329" s="153" t="str">
        <f t="shared" ref="C329:C335" si="27" xml:space="preserve"> IF(B329="","",setValueToTime(B329))</f>
        <v>2h20min</v>
      </c>
      <c r="D329" s="55" t="s">
        <v>90</v>
      </c>
      <c r="E329" s="232" t="s">
        <v>91</v>
      </c>
      <c r="F329" s="222"/>
      <c r="G329" s="51"/>
    </row>
    <row r="330" spans="1:7" s="52" customFormat="1" x14ac:dyDescent="0.3">
      <c r="A330" s="53"/>
      <c r="B330" s="54"/>
      <c r="C330" s="153" t="str">
        <f t="shared" si="27"/>
        <v/>
      </c>
      <c r="D330" s="55"/>
      <c r="E330" s="221"/>
      <c r="F330" s="222"/>
      <c r="G330" s="51"/>
    </row>
    <row r="331" spans="1:7" s="52" customFormat="1" x14ac:dyDescent="0.3">
      <c r="A331" s="53"/>
      <c r="B331" s="54"/>
      <c r="C331" s="153" t="str">
        <f t="shared" si="27"/>
        <v/>
      </c>
      <c r="D331" s="55"/>
      <c r="E331" s="221"/>
      <c r="F331" s="222"/>
      <c r="G331" s="51"/>
    </row>
    <row r="332" spans="1:7" s="52" customFormat="1" x14ac:dyDescent="0.3">
      <c r="A332" s="54"/>
      <c r="B332" s="54"/>
      <c r="C332" s="154" t="str">
        <f t="shared" si="27"/>
        <v/>
      </c>
      <c r="D332" s="55"/>
      <c r="E332" s="221"/>
      <c r="F332" s="222"/>
      <c r="G332" s="51"/>
    </row>
    <row r="333" spans="1:7" s="52" customFormat="1" x14ac:dyDescent="0.3">
      <c r="A333" s="54"/>
      <c r="B333" s="54"/>
      <c r="C333" s="154" t="str">
        <f t="shared" si="27"/>
        <v/>
      </c>
      <c r="D333" s="55"/>
      <c r="E333" s="221"/>
      <c r="F333" s="222"/>
      <c r="G333" s="51"/>
    </row>
    <row r="334" spans="1:7" s="52" customFormat="1" x14ac:dyDescent="0.3">
      <c r="A334" s="54"/>
      <c r="B334" s="54"/>
      <c r="C334" s="154" t="str">
        <f t="shared" si="27"/>
        <v/>
      </c>
      <c r="D334" s="55"/>
      <c r="E334" s="221"/>
      <c r="F334" s="222"/>
      <c r="G334" s="51"/>
    </row>
    <row r="335" spans="1:7" s="52" customFormat="1" ht="15" thickBot="1" x14ac:dyDescent="0.35">
      <c r="A335" s="56"/>
      <c r="B335" s="56"/>
      <c r="C335" s="155" t="str">
        <f t="shared" si="27"/>
        <v/>
      </c>
      <c r="D335" s="57"/>
      <c r="E335" s="223"/>
      <c r="F335" s="224"/>
      <c r="G335" s="51"/>
    </row>
    <row r="336" spans="1:7" s="52" customFormat="1" ht="15" thickBot="1" x14ac:dyDescent="0.35">
      <c r="A336" s="111" t="s">
        <v>26</v>
      </c>
      <c r="B336" s="84">
        <f>SUM(B328:B335)</f>
        <v>38</v>
      </c>
      <c r="C336" s="111" t="str">
        <f xml:space="preserve"> setValueToTime(B336)</f>
        <v>3h10min</v>
      </c>
      <c r="D336" s="120"/>
      <c r="E336" s="225"/>
      <c r="F336" s="226"/>
      <c r="G336" s="51"/>
    </row>
    <row r="337" spans="1:7" s="59" customFormat="1" x14ac:dyDescent="0.3">
      <c r="A337" s="79"/>
      <c r="B337" s="79"/>
      <c r="C337" s="79"/>
      <c r="D337" s="79"/>
      <c r="E337" s="79"/>
      <c r="F337" s="79"/>
      <c r="G337" s="58"/>
    </row>
  </sheetData>
  <sheetProtection formatRows="0" insertRows="0" insertHyperlinks="0" deleteRows="0" selectLockedCells="1"/>
  <mergeCells count="280">
    <mergeCell ref="E333:F333"/>
    <mergeCell ref="E334:F334"/>
    <mergeCell ref="E335:F335"/>
    <mergeCell ref="E336:F336"/>
    <mergeCell ref="E315:F315"/>
    <mergeCell ref="E316:F316"/>
    <mergeCell ref="E317:F317"/>
    <mergeCell ref="E318:F318"/>
    <mergeCell ref="E319:F319"/>
    <mergeCell ref="E320:F320"/>
    <mergeCell ref="E327:F327"/>
    <mergeCell ref="E328:F328"/>
    <mergeCell ref="E329:F329"/>
    <mergeCell ref="E330:F330"/>
    <mergeCell ref="E331:F331"/>
    <mergeCell ref="E332:F332"/>
    <mergeCell ref="E321:F321"/>
    <mergeCell ref="E322:F322"/>
    <mergeCell ref="E323:F323"/>
    <mergeCell ref="E324:F324"/>
    <mergeCell ref="E312:F312"/>
    <mergeCell ref="E291:F291"/>
    <mergeCell ref="E292:F292"/>
    <mergeCell ref="E293:F293"/>
    <mergeCell ref="E294:F294"/>
    <mergeCell ref="E295:F295"/>
    <mergeCell ref="E296:F296"/>
    <mergeCell ref="E297:F297"/>
    <mergeCell ref="E298:F298"/>
    <mergeCell ref="E299:F299"/>
    <mergeCell ref="E300:F300"/>
    <mergeCell ref="E303:F303"/>
    <mergeCell ref="E304:F304"/>
    <mergeCell ref="E305:F305"/>
    <mergeCell ref="E306:F306"/>
    <mergeCell ref="E307:F307"/>
    <mergeCell ref="E308:F308"/>
    <mergeCell ref="E309:F309"/>
    <mergeCell ref="E310:F310"/>
    <mergeCell ref="E311:F311"/>
    <mergeCell ref="E288:F288"/>
    <mergeCell ref="E267:F267"/>
    <mergeCell ref="E268:F268"/>
    <mergeCell ref="E269:F269"/>
    <mergeCell ref="E270:F270"/>
    <mergeCell ref="E271:F271"/>
    <mergeCell ref="E272:F272"/>
    <mergeCell ref="E273:F273"/>
    <mergeCell ref="E274:F274"/>
    <mergeCell ref="E275:F275"/>
    <mergeCell ref="E276:F276"/>
    <mergeCell ref="E279:F279"/>
    <mergeCell ref="E280:F280"/>
    <mergeCell ref="E281:F281"/>
    <mergeCell ref="E282:F282"/>
    <mergeCell ref="E283:F283"/>
    <mergeCell ref="E284:F284"/>
    <mergeCell ref="E285:F285"/>
    <mergeCell ref="E286:F286"/>
    <mergeCell ref="E287:F287"/>
    <mergeCell ref="E264:F264"/>
    <mergeCell ref="E243:F243"/>
    <mergeCell ref="E244:F244"/>
    <mergeCell ref="E245:F245"/>
    <mergeCell ref="E246:F246"/>
    <mergeCell ref="E247:F247"/>
    <mergeCell ref="E248:F248"/>
    <mergeCell ref="E249:F249"/>
    <mergeCell ref="E250:F250"/>
    <mergeCell ref="E251:F251"/>
    <mergeCell ref="E252:F252"/>
    <mergeCell ref="E255:F255"/>
    <mergeCell ref="E256:F256"/>
    <mergeCell ref="E257:F257"/>
    <mergeCell ref="E258:F258"/>
    <mergeCell ref="E259:F259"/>
    <mergeCell ref="E260:F260"/>
    <mergeCell ref="E261:F261"/>
    <mergeCell ref="E262:F262"/>
    <mergeCell ref="E263:F263"/>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34:F234"/>
    <mergeCell ref="E235:F235"/>
    <mergeCell ref="E236:F236"/>
    <mergeCell ref="E237:F237"/>
    <mergeCell ref="E238:F238"/>
    <mergeCell ref="E239:F239"/>
    <mergeCell ref="E216:F216"/>
    <mergeCell ref="E195:F195"/>
    <mergeCell ref="E196:F196"/>
    <mergeCell ref="E197:F197"/>
    <mergeCell ref="E198:F198"/>
    <mergeCell ref="E199:F199"/>
    <mergeCell ref="E200:F200"/>
    <mergeCell ref="E201:F201"/>
    <mergeCell ref="E202:F202"/>
    <mergeCell ref="E203:F203"/>
    <mergeCell ref="E204:F204"/>
    <mergeCell ref="E207:F207"/>
    <mergeCell ref="E208:F208"/>
    <mergeCell ref="E209:F209"/>
    <mergeCell ref="E210:F210"/>
    <mergeCell ref="E211:F211"/>
    <mergeCell ref="E212:F212"/>
    <mergeCell ref="E213:F213"/>
    <mergeCell ref="E214:F214"/>
    <mergeCell ref="E215:F215"/>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 ref="E21:F21"/>
    <mergeCell ref="E22:F22"/>
    <mergeCell ref="E23:F23"/>
    <mergeCell ref="E24:F24"/>
    <mergeCell ref="E3:F3"/>
    <mergeCell ref="E4:F4"/>
    <mergeCell ref="E5:F5"/>
    <mergeCell ref="E6:F6"/>
    <mergeCell ref="E7:F7"/>
    <mergeCell ref="E8:F8"/>
    <mergeCell ref="E15:F15"/>
    <mergeCell ref="E16:F16"/>
    <mergeCell ref="E17:F17"/>
    <mergeCell ref="E18:F18"/>
    <mergeCell ref="E19:F19"/>
    <mergeCell ref="E20:F20"/>
    <mergeCell ref="E9:F9"/>
    <mergeCell ref="E10:F10"/>
    <mergeCell ref="E11:F11"/>
    <mergeCell ref="E12:F12"/>
  </mergeCells>
  <phoneticPr fontId="0" type="noConversion"/>
  <conditionalFormatting sqref="B336">
    <cfRule type="cellIs" dxfId="57" priority="28" operator="greaterThan">
      <formula>60</formula>
    </cfRule>
  </conditionalFormatting>
  <conditionalFormatting sqref="B324">
    <cfRule type="cellIs" dxfId="56" priority="27" operator="greaterThan">
      <formula>60</formula>
    </cfRule>
  </conditionalFormatting>
  <conditionalFormatting sqref="B312">
    <cfRule type="cellIs" dxfId="55" priority="26" operator="greaterThan">
      <formula>60</formula>
    </cfRule>
  </conditionalFormatting>
  <conditionalFormatting sqref="B300">
    <cfRule type="cellIs" dxfId="54" priority="25" operator="greaterThan">
      <formula>60</formula>
    </cfRule>
  </conditionalFormatting>
  <conditionalFormatting sqref="B288">
    <cfRule type="cellIs" dxfId="53" priority="24" operator="greaterThan">
      <formula>60</formula>
    </cfRule>
  </conditionalFormatting>
  <conditionalFormatting sqref="B276">
    <cfRule type="cellIs" dxfId="52" priority="23" operator="greaterThan">
      <formula>60</formula>
    </cfRule>
  </conditionalFormatting>
  <conditionalFormatting sqref="B264">
    <cfRule type="cellIs" dxfId="51" priority="22" operator="greaterThan">
      <formula>60</formula>
    </cfRule>
  </conditionalFormatting>
  <conditionalFormatting sqref="B252">
    <cfRule type="cellIs" dxfId="50" priority="21" operator="greaterThan">
      <formula>60</formula>
    </cfRule>
  </conditionalFormatting>
  <conditionalFormatting sqref="B240">
    <cfRule type="cellIs" dxfId="49" priority="20" operator="greaterThan">
      <formula>60</formula>
    </cfRule>
  </conditionalFormatting>
  <conditionalFormatting sqref="B228">
    <cfRule type="cellIs" dxfId="48" priority="19" operator="greaterThan">
      <formula>60</formula>
    </cfRule>
  </conditionalFormatting>
  <conditionalFormatting sqref="B216">
    <cfRule type="cellIs" dxfId="47" priority="18" operator="greaterThan">
      <formula>60</formula>
    </cfRule>
  </conditionalFormatting>
  <conditionalFormatting sqref="B204">
    <cfRule type="cellIs" dxfId="46" priority="17" operator="greaterThan">
      <formula>60</formula>
    </cfRule>
  </conditionalFormatting>
  <conditionalFormatting sqref="B192">
    <cfRule type="cellIs" dxfId="45" priority="16" operator="greaterThan">
      <formula>60</formula>
    </cfRule>
  </conditionalFormatting>
  <conditionalFormatting sqref="B180">
    <cfRule type="cellIs" dxfId="44" priority="15" operator="greaterThan">
      <formula>60</formula>
    </cfRule>
  </conditionalFormatting>
  <conditionalFormatting sqref="B168">
    <cfRule type="cellIs" dxfId="43" priority="14" operator="greaterThan">
      <formula>60</formula>
    </cfRule>
  </conditionalFormatting>
  <conditionalFormatting sqref="B156">
    <cfRule type="cellIs" dxfId="42" priority="13" operator="greaterThan">
      <formula>60</formula>
    </cfRule>
  </conditionalFormatting>
  <conditionalFormatting sqref="B144">
    <cfRule type="cellIs" dxfId="41" priority="12" operator="greaterThan">
      <formula>60</formula>
    </cfRule>
  </conditionalFormatting>
  <conditionalFormatting sqref="B132">
    <cfRule type="cellIs" dxfId="40" priority="11" operator="greaterThan">
      <formula>60</formula>
    </cfRule>
  </conditionalFormatting>
  <conditionalFormatting sqref="B120">
    <cfRule type="cellIs" dxfId="39" priority="10" operator="greaterThan">
      <formula>60</formula>
    </cfRule>
  </conditionalFormatting>
  <conditionalFormatting sqref="B108">
    <cfRule type="cellIs" dxfId="38" priority="9" operator="greaterThan">
      <formula>60</formula>
    </cfRule>
  </conditionalFormatting>
  <conditionalFormatting sqref="B96">
    <cfRule type="cellIs" dxfId="37" priority="8" operator="greaterThan">
      <formula>60</formula>
    </cfRule>
  </conditionalFormatting>
  <conditionalFormatting sqref="B84">
    <cfRule type="cellIs" dxfId="36" priority="7" operator="greaterThan">
      <formula>60</formula>
    </cfRule>
  </conditionalFormatting>
  <conditionalFormatting sqref="B72">
    <cfRule type="cellIs" dxfId="35" priority="6" operator="greaterThan">
      <formula>60</formula>
    </cfRule>
  </conditionalFormatting>
  <conditionalFormatting sqref="B60">
    <cfRule type="cellIs" dxfId="34" priority="5" operator="greaterThan">
      <formula>60</formula>
    </cfRule>
  </conditionalFormatting>
  <conditionalFormatting sqref="B48">
    <cfRule type="cellIs" dxfId="33" priority="4" operator="greaterThan">
      <formula>60</formula>
    </cfRule>
  </conditionalFormatting>
  <conditionalFormatting sqref="B36">
    <cfRule type="cellIs" dxfId="32" priority="3" operator="greaterThan">
      <formula>60</formula>
    </cfRule>
  </conditionalFormatting>
  <conditionalFormatting sqref="B24">
    <cfRule type="cellIs" dxfId="31" priority="2" operator="greaterThan">
      <formula>60</formula>
    </cfRule>
  </conditionalFormatting>
  <conditionalFormatting sqref="B12">
    <cfRule type="cellIs" dxfId="30"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36 B324 B312 B300 B288 B276 B264 B252 B240 B228 B216 B204 B192 B180 B168 B156 B144 B132 B120 B108 B96 B84 B72 B60 B48 B36 B24 B12" xr:uid="{40520D07-D19B-4047-8008-6E562118F869}">
      <formula1>0</formula1>
      <formula2>60</formula2>
    </dataValidation>
    <dataValidation type="whole" operator="greaterThan" allowBlank="1" showInputMessage="1" showErrorMessage="1" errorTitle="Durée par tranche de 10min" error="Le nombre doit être de type entier" sqref="B328:B335 B316:B323 B304:B311 B292:B299 B280:B287 B268:B275 B256:B263 B244:B251 B232:B239 B220:B227 B4:B11 B208:B215 B184:B191 B172:B179 B160:B167 B148:B155 B136:B143 B124:B131 B112:B119 B100:B107 B88:B95 B76:B83 B64:B71 B52:B59 B40:B47 B28:B35 B16:B23 B196:B203" xr:uid="{E12F8448-E68D-4DD0-A462-BC4DFA4A395B}">
      <formula1>0</formula1>
    </dataValidation>
    <dataValidation type="list" allowBlank="1" showInputMessage="1" showErrorMessage="1" sqref="A328:A335 A316:A323 A304:A311 A292:A299 A280:A287 A268:A275 A256:A263 A244:A251 A232:A239 A220:A227 A4:A11 A208:A215 A184:A191 A172:A179 A160:A167 A148:A155 A136:A143 A124:A131 A112:A119 A100:A107 A88:A95 A76:A83 A64:A71 A52:A59 A40:A47 A28:A35 A16:A23 A196:A203" xr:uid="{E67FFB09-3251-49EA-AA8C-20A809D98291}">
      <formula1>ListeTaches</formula1>
    </dataValidation>
  </dataValidations>
  <hyperlinks>
    <hyperlink ref="E329" r:id="rId1" xr:uid="{5539CA72-24E0-4AAA-8264-6C60454CA043}"/>
    <hyperlink ref="E316" r:id="rId2" xr:uid="{50D5C8F4-D830-491B-93F6-6C2CAE2FAC5C}"/>
  </hyperlinks>
  <printOptions horizontalCentered="1" verticalCentered="1"/>
  <pageMargins left="0.78740157480314965" right="0.78740157480314965" top="0.98425196850393704" bottom="0.98425196850393704" header="0.51181102362204722" footer="0.51181102362204722"/>
  <pageSetup paperSize="9" scale="31" fitToHeight="4" orientation="landscape" r:id="rId3"/>
  <headerFooter alignWithMargins="0">
    <oddHeader>&amp;L&amp;"ETML,Normal"&amp;14ETML&amp;R&amp;14&amp;USection Informatique</oddHeader>
    <oddFooter>&amp;L&amp;14&amp;D - David Assayah&amp;C&amp;14&amp;F - &amp;A&amp;R&amp;14&amp;P/&amp;N</oddFooter>
  </headerFooter>
  <drawing r:id="rId4"/>
  <legacyDrawing r:id="rId5"/>
  <controls>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mc:AlternateContent xmlns:mc="http://schemas.openxmlformats.org/markup-compatibility/2006">
      <mc:Choice Requires="x14">
        <control shapeId="6151" r:id="rId8" name="btnAjoutSeqPlanning">
          <controlPr defaultSize="0" autoLine="0" r:id="rId9">
            <anchor moveWithCells="1">
              <from>
                <xdr:col>1</xdr:col>
                <xdr:colOff>0</xdr:colOff>
                <xdr:row>0</xdr:row>
                <xdr:rowOff>85725</xdr:rowOff>
              </from>
              <to>
                <xdr:col>3</xdr:col>
                <xdr:colOff>485775</xdr:colOff>
                <xdr:row>0</xdr:row>
                <xdr:rowOff>581025</xdr:rowOff>
              </to>
            </anchor>
          </controlPr>
        </control>
      </mc:Choice>
      <mc:Fallback>
        <control shapeId="6151" r:id="rId8"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337"/>
  <sheetViews>
    <sheetView showGridLines="0" tabSelected="1" zoomScaleNormal="100" zoomScaleSheetLayoutView="98" workbookViewId="0">
      <pane ySplit="1" topLeftCell="A135" activePane="bottomLeft" state="frozen"/>
      <selection pane="bottomLeft" activeCell="D155" sqref="D155"/>
    </sheetView>
  </sheetViews>
  <sheetFormatPr baseColWidth="10" defaultColWidth="11.42578125" defaultRowHeight="14.25" x14ac:dyDescent="0.3"/>
  <cols>
    <col min="1" max="1" width="21.42578125" style="60" customWidth="1"/>
    <col min="2" max="2" width="8.42578125" style="60" customWidth="1"/>
    <col min="3" max="3" width="8.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9</v>
      </c>
      <c r="B2" s="164">
        <v>28</v>
      </c>
      <c r="C2" s="164"/>
      <c r="D2" s="157" t="s">
        <v>12</v>
      </c>
      <c r="E2" s="158" t="s">
        <v>76</v>
      </c>
      <c r="F2" s="159" t="s">
        <v>61</v>
      </c>
      <c r="G2" s="46"/>
    </row>
    <row r="3" spans="1:7" s="47" customFormat="1" ht="30" customHeight="1" thickBot="1" x14ac:dyDescent="0.3">
      <c r="A3" s="78" t="s">
        <v>2</v>
      </c>
      <c r="B3" s="161" t="s">
        <v>39</v>
      </c>
      <c r="C3" s="160"/>
      <c r="D3" s="78" t="s">
        <v>10</v>
      </c>
      <c r="E3" s="235" t="s">
        <v>11</v>
      </c>
      <c r="F3" s="236"/>
      <c r="G3" s="46"/>
    </row>
    <row r="4" spans="1:7" s="52" customFormat="1" x14ac:dyDescent="0.3">
      <c r="A4" s="48"/>
      <c r="B4" s="49"/>
      <c r="C4" s="152" t="str">
        <f xml:space="preserve"> IF(B4="","",setValueToTime(B4))</f>
        <v/>
      </c>
      <c r="D4" s="50"/>
      <c r="E4" s="229"/>
      <c r="F4" s="230"/>
      <c r="G4" s="51"/>
    </row>
    <row r="5" spans="1:7" s="52" customFormat="1" x14ac:dyDescent="0.3">
      <c r="A5" s="53"/>
      <c r="B5" s="54"/>
      <c r="C5" s="153" t="str">
        <f t="shared" ref="C5:C11" si="0" xml:space="preserve"> IF(B5="","",setValueToTime(B5))</f>
        <v/>
      </c>
      <c r="D5" s="55"/>
      <c r="E5" s="221"/>
      <c r="F5" s="222"/>
      <c r="G5" s="51"/>
    </row>
    <row r="6" spans="1:7" s="52" customFormat="1" x14ac:dyDescent="0.3">
      <c r="A6" s="53"/>
      <c r="B6" s="54"/>
      <c r="C6" s="153" t="str">
        <f t="shared" si="0"/>
        <v/>
      </c>
      <c r="D6" s="55"/>
      <c r="E6" s="221"/>
      <c r="F6" s="222"/>
      <c r="G6" s="51"/>
    </row>
    <row r="7" spans="1:7" s="52" customFormat="1" x14ac:dyDescent="0.3">
      <c r="A7" s="53"/>
      <c r="B7" s="54"/>
      <c r="C7" s="153"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x14ac:dyDescent="0.3">
      <c r="A10" s="54"/>
      <c r="B10" s="54"/>
      <c r="C10" s="154" t="str">
        <f t="shared" si="0"/>
        <v/>
      </c>
      <c r="D10" s="55"/>
      <c r="E10" s="221"/>
      <c r="F10" s="222"/>
      <c r="G10" s="51"/>
    </row>
    <row r="11" spans="1:7" s="52" customFormat="1" ht="15" thickBot="1" x14ac:dyDescent="0.35">
      <c r="A11" s="56"/>
      <c r="B11" s="56"/>
      <c r="C11" s="155" t="str">
        <f t="shared" si="0"/>
        <v/>
      </c>
      <c r="D11" s="57"/>
      <c r="E11" s="223"/>
      <c r="F11" s="224"/>
      <c r="G11" s="51"/>
    </row>
    <row r="12" spans="1:7" s="52" customFormat="1" ht="15" thickBot="1" x14ac:dyDescent="0.35">
      <c r="A12" s="162" t="s">
        <v>26</v>
      </c>
      <c r="B12" s="83">
        <f>SUM(B4:B11)</f>
        <v>0</v>
      </c>
      <c r="C12" s="162" t="str">
        <f xml:space="preserve"> setValueToTime(B12)</f>
        <v>0h</v>
      </c>
      <c r="D12" s="121"/>
      <c r="E12" s="233"/>
      <c r="F12" s="234"/>
      <c r="G12" s="51"/>
    </row>
    <row r="13" spans="1:7" s="59" customFormat="1" ht="15" thickBot="1" x14ac:dyDescent="0.35">
      <c r="A13" s="77"/>
      <c r="B13" s="77"/>
      <c r="C13" s="77"/>
      <c r="D13" s="77"/>
      <c r="E13" s="77"/>
      <c r="F13" s="77"/>
      <c r="G13" s="58"/>
    </row>
    <row r="14" spans="1:7" s="47" customFormat="1" ht="30" customHeight="1" thickBot="1" x14ac:dyDescent="0.3">
      <c r="A14" s="156" t="s">
        <v>9</v>
      </c>
      <c r="B14" s="164">
        <v>27</v>
      </c>
      <c r="C14" s="164"/>
      <c r="D14" s="157" t="s">
        <v>12</v>
      </c>
      <c r="E14" s="158" t="s">
        <v>76</v>
      </c>
      <c r="F14" s="159" t="s">
        <v>60</v>
      </c>
      <c r="G14" s="46"/>
    </row>
    <row r="15" spans="1:7" s="47" customFormat="1" ht="30" customHeight="1" thickBot="1" x14ac:dyDescent="0.3">
      <c r="A15" s="78" t="s">
        <v>2</v>
      </c>
      <c r="B15" s="161" t="s">
        <v>39</v>
      </c>
      <c r="C15" s="160"/>
      <c r="D15" s="78" t="s">
        <v>10</v>
      </c>
      <c r="E15" s="235" t="s">
        <v>11</v>
      </c>
      <c r="F15" s="236"/>
      <c r="G15" s="46"/>
    </row>
    <row r="16" spans="1:7" s="52" customFormat="1" x14ac:dyDescent="0.3">
      <c r="A16" s="48"/>
      <c r="B16" s="49"/>
      <c r="C16" s="152" t="str">
        <f xml:space="preserve"> IF(B16="","",setValueToTime(B16))</f>
        <v/>
      </c>
      <c r="D16" s="50"/>
      <c r="E16" s="229"/>
      <c r="F16" s="230"/>
      <c r="G16" s="51"/>
    </row>
    <row r="17" spans="1:7" s="52" customFormat="1" x14ac:dyDescent="0.3">
      <c r="A17" s="53"/>
      <c r="B17" s="54"/>
      <c r="C17" s="153" t="str">
        <f t="shared" ref="C17:C23" si="1" xml:space="preserve"> IF(B17="","",setValueToTime(B17))</f>
        <v/>
      </c>
      <c r="D17" s="55"/>
      <c r="E17" s="221"/>
      <c r="F17" s="222"/>
      <c r="G17" s="51"/>
    </row>
    <row r="18" spans="1:7" s="52" customFormat="1" x14ac:dyDescent="0.3">
      <c r="A18" s="53"/>
      <c r="B18" s="54"/>
      <c r="C18" s="153" t="str">
        <f t="shared" si="1"/>
        <v/>
      </c>
      <c r="D18" s="55"/>
      <c r="E18" s="221"/>
      <c r="F18" s="222"/>
      <c r="G18" s="51"/>
    </row>
    <row r="19" spans="1:7" s="52" customFormat="1" x14ac:dyDescent="0.3">
      <c r="A19" s="53"/>
      <c r="B19" s="54"/>
      <c r="C19" s="153" t="str">
        <f t="shared" si="1"/>
        <v/>
      </c>
      <c r="D19" s="55"/>
      <c r="E19" s="221"/>
      <c r="F19" s="222"/>
      <c r="G19" s="51"/>
    </row>
    <row r="20" spans="1:7" s="52" customFormat="1" x14ac:dyDescent="0.3">
      <c r="A20" s="54"/>
      <c r="B20" s="54"/>
      <c r="C20" s="154" t="str">
        <f t="shared" si="1"/>
        <v/>
      </c>
      <c r="D20" s="55"/>
      <c r="E20" s="221"/>
      <c r="F20" s="222"/>
      <c r="G20" s="51"/>
    </row>
    <row r="21" spans="1:7" s="52" customFormat="1" x14ac:dyDescent="0.3">
      <c r="A21" s="54"/>
      <c r="B21" s="54"/>
      <c r="C21" s="154" t="str">
        <f t="shared" si="1"/>
        <v/>
      </c>
      <c r="D21" s="55"/>
      <c r="E21" s="221"/>
      <c r="F21" s="222"/>
      <c r="G21" s="51"/>
    </row>
    <row r="22" spans="1:7" s="52" customFormat="1" x14ac:dyDescent="0.3">
      <c r="A22" s="54"/>
      <c r="B22" s="54"/>
      <c r="C22" s="154" t="str">
        <f t="shared" si="1"/>
        <v/>
      </c>
      <c r="D22" s="55"/>
      <c r="E22" s="221"/>
      <c r="F22" s="222"/>
      <c r="G22" s="51"/>
    </row>
    <row r="23" spans="1:7" s="52" customFormat="1" ht="15" thickBot="1" x14ac:dyDescent="0.35">
      <c r="A23" s="56"/>
      <c r="B23" s="56"/>
      <c r="C23" s="155" t="str">
        <f t="shared" si="1"/>
        <v/>
      </c>
      <c r="D23" s="57"/>
      <c r="E23" s="223"/>
      <c r="F23" s="224"/>
      <c r="G23" s="51"/>
    </row>
    <row r="24" spans="1:7" s="52" customFormat="1" ht="15" thickBot="1" x14ac:dyDescent="0.35">
      <c r="A24" s="162" t="s">
        <v>26</v>
      </c>
      <c r="B24" s="83">
        <f>SUM(B16:B23)</f>
        <v>0</v>
      </c>
      <c r="C24" s="162" t="str">
        <f xml:space="preserve"> setValueToTime(B24)</f>
        <v>0h</v>
      </c>
      <c r="D24" s="121"/>
      <c r="E24" s="233"/>
      <c r="F24" s="234"/>
      <c r="G24" s="51"/>
    </row>
    <row r="25" spans="1:7" s="59" customFormat="1" ht="15" thickBot="1" x14ac:dyDescent="0.35">
      <c r="A25" s="77"/>
      <c r="B25" s="77"/>
      <c r="C25" s="77"/>
      <c r="D25" s="77"/>
      <c r="E25" s="77"/>
      <c r="F25" s="77"/>
      <c r="G25" s="58"/>
    </row>
    <row r="26" spans="1:7" s="47" customFormat="1" ht="30" customHeight="1" thickBot="1" x14ac:dyDescent="0.3">
      <c r="A26" s="156" t="s">
        <v>9</v>
      </c>
      <c r="B26" s="164">
        <v>26</v>
      </c>
      <c r="C26" s="164"/>
      <c r="D26" s="157" t="s">
        <v>12</v>
      </c>
      <c r="E26" s="158" t="s">
        <v>75</v>
      </c>
      <c r="F26" s="159" t="s">
        <v>61</v>
      </c>
      <c r="G26" s="46"/>
    </row>
    <row r="27" spans="1:7" s="47" customFormat="1" ht="30" customHeight="1" thickBot="1" x14ac:dyDescent="0.3">
      <c r="A27" s="78" t="s">
        <v>2</v>
      </c>
      <c r="B27" s="161" t="s">
        <v>39</v>
      </c>
      <c r="C27" s="160"/>
      <c r="D27" s="78" t="s">
        <v>10</v>
      </c>
      <c r="E27" s="235" t="s">
        <v>11</v>
      </c>
      <c r="F27" s="236"/>
      <c r="G27" s="46"/>
    </row>
    <row r="28" spans="1:7" s="52" customFormat="1" x14ac:dyDescent="0.3">
      <c r="A28" s="48"/>
      <c r="B28" s="49"/>
      <c r="C28" s="152" t="str">
        <f xml:space="preserve"> IF(B28="","",setValueToTime(B28))</f>
        <v/>
      </c>
      <c r="D28" s="50"/>
      <c r="E28" s="229"/>
      <c r="F28" s="230"/>
      <c r="G28" s="51"/>
    </row>
    <row r="29" spans="1:7" s="52" customFormat="1" x14ac:dyDescent="0.3">
      <c r="A29" s="53"/>
      <c r="B29" s="54"/>
      <c r="C29" s="153" t="str">
        <f t="shared" ref="C29:C35" si="2" xml:space="preserve"> IF(B29="","",setValueToTime(B29))</f>
        <v/>
      </c>
      <c r="D29" s="55"/>
      <c r="E29" s="221"/>
      <c r="F29" s="222"/>
      <c r="G29" s="51"/>
    </row>
    <row r="30" spans="1:7" s="52" customFormat="1" x14ac:dyDescent="0.3">
      <c r="A30" s="53"/>
      <c r="B30" s="54"/>
      <c r="C30" s="153" t="str">
        <f t="shared" si="2"/>
        <v/>
      </c>
      <c r="D30" s="55"/>
      <c r="E30" s="221"/>
      <c r="F30" s="222"/>
      <c r="G30" s="51"/>
    </row>
    <row r="31" spans="1:7" s="52" customFormat="1" x14ac:dyDescent="0.3">
      <c r="A31" s="53"/>
      <c r="B31" s="54"/>
      <c r="C31" s="153" t="str">
        <f t="shared" si="2"/>
        <v/>
      </c>
      <c r="D31" s="55"/>
      <c r="E31" s="221"/>
      <c r="F31" s="222"/>
      <c r="G31" s="51"/>
    </row>
    <row r="32" spans="1:7" s="52" customFormat="1" x14ac:dyDescent="0.3">
      <c r="A32" s="54"/>
      <c r="B32" s="54"/>
      <c r="C32" s="154" t="str">
        <f t="shared" si="2"/>
        <v/>
      </c>
      <c r="D32" s="55"/>
      <c r="E32" s="221"/>
      <c r="F32" s="222"/>
      <c r="G32" s="51"/>
    </row>
    <row r="33" spans="1:7" s="52" customFormat="1" x14ac:dyDescent="0.3">
      <c r="A33" s="54"/>
      <c r="B33" s="54"/>
      <c r="C33" s="154" t="str">
        <f t="shared" si="2"/>
        <v/>
      </c>
      <c r="D33" s="55"/>
      <c r="E33" s="221"/>
      <c r="F33" s="222"/>
      <c r="G33" s="51"/>
    </row>
    <row r="34" spans="1:7" s="52" customFormat="1" x14ac:dyDescent="0.3">
      <c r="A34" s="54"/>
      <c r="B34" s="54"/>
      <c r="C34" s="154" t="str">
        <f t="shared" si="2"/>
        <v/>
      </c>
      <c r="D34" s="55"/>
      <c r="E34" s="221"/>
      <c r="F34" s="222"/>
      <c r="G34" s="51"/>
    </row>
    <row r="35" spans="1:7" s="52" customFormat="1" ht="15" thickBot="1" x14ac:dyDescent="0.35">
      <c r="A35" s="56"/>
      <c r="B35" s="56"/>
      <c r="C35" s="155" t="str">
        <f t="shared" si="2"/>
        <v/>
      </c>
      <c r="D35" s="57"/>
      <c r="E35" s="223"/>
      <c r="F35" s="224"/>
      <c r="G35" s="51"/>
    </row>
    <row r="36" spans="1:7" s="52" customFormat="1" ht="15" thickBot="1" x14ac:dyDescent="0.35">
      <c r="A36" s="162" t="s">
        <v>26</v>
      </c>
      <c r="B36" s="83">
        <f>SUM(B28:B35)</f>
        <v>0</v>
      </c>
      <c r="C36" s="162" t="str">
        <f xml:space="preserve"> setValueToTime(B36)</f>
        <v>0h</v>
      </c>
      <c r="D36" s="121"/>
      <c r="E36" s="233"/>
      <c r="F36" s="234"/>
      <c r="G36" s="51"/>
    </row>
    <row r="37" spans="1:7" s="59" customFormat="1" ht="15" thickBot="1" x14ac:dyDescent="0.35">
      <c r="A37" s="77"/>
      <c r="B37" s="77"/>
      <c r="C37" s="77"/>
      <c r="D37" s="77"/>
      <c r="E37" s="77"/>
      <c r="F37" s="77"/>
      <c r="G37" s="58"/>
    </row>
    <row r="38" spans="1:7" s="47" customFormat="1" ht="30" customHeight="1" thickBot="1" x14ac:dyDescent="0.3">
      <c r="A38" s="156" t="s">
        <v>9</v>
      </c>
      <c r="B38" s="164">
        <v>25</v>
      </c>
      <c r="C38" s="164"/>
      <c r="D38" s="157" t="s">
        <v>12</v>
      </c>
      <c r="E38" s="158" t="s">
        <v>75</v>
      </c>
      <c r="F38" s="159" t="s">
        <v>60</v>
      </c>
      <c r="G38" s="46"/>
    </row>
    <row r="39" spans="1:7" s="47" customFormat="1" ht="30" customHeight="1" thickBot="1" x14ac:dyDescent="0.3">
      <c r="A39" s="78" t="s">
        <v>2</v>
      </c>
      <c r="B39" s="161" t="s">
        <v>39</v>
      </c>
      <c r="C39" s="160"/>
      <c r="D39" s="78" t="s">
        <v>10</v>
      </c>
      <c r="E39" s="235" t="s">
        <v>11</v>
      </c>
      <c r="F39" s="236"/>
      <c r="G39" s="46"/>
    </row>
    <row r="40" spans="1:7" s="52" customFormat="1" x14ac:dyDescent="0.3">
      <c r="A40" s="48"/>
      <c r="B40" s="49"/>
      <c r="C40" s="152" t="str">
        <f xml:space="preserve"> IF(B40="","",setValueToTime(B40))</f>
        <v/>
      </c>
      <c r="D40" s="50"/>
      <c r="E40" s="229"/>
      <c r="F40" s="230"/>
      <c r="G40" s="51"/>
    </row>
    <row r="41" spans="1:7" s="52" customFormat="1" x14ac:dyDescent="0.3">
      <c r="A41" s="53"/>
      <c r="B41" s="54"/>
      <c r="C41" s="153" t="str">
        <f t="shared" ref="C41:C47" si="3" xml:space="preserve"> IF(B41="","",setValueToTime(B41))</f>
        <v/>
      </c>
      <c r="D41" s="55"/>
      <c r="E41" s="221"/>
      <c r="F41" s="222"/>
      <c r="G41" s="51"/>
    </row>
    <row r="42" spans="1:7" s="52" customFormat="1" x14ac:dyDescent="0.3">
      <c r="A42" s="53"/>
      <c r="B42" s="54"/>
      <c r="C42" s="153" t="str">
        <f t="shared" si="3"/>
        <v/>
      </c>
      <c r="D42" s="55"/>
      <c r="E42" s="221"/>
      <c r="F42" s="222"/>
      <c r="G42" s="51"/>
    </row>
    <row r="43" spans="1:7" s="52" customFormat="1" x14ac:dyDescent="0.3">
      <c r="A43" s="53"/>
      <c r="B43" s="54"/>
      <c r="C43" s="153" t="str">
        <f t="shared" si="3"/>
        <v/>
      </c>
      <c r="D43" s="55"/>
      <c r="E43" s="221"/>
      <c r="F43" s="222"/>
      <c r="G43" s="51"/>
    </row>
    <row r="44" spans="1:7" s="52" customFormat="1" x14ac:dyDescent="0.3">
      <c r="A44" s="54"/>
      <c r="B44" s="54"/>
      <c r="C44" s="154" t="str">
        <f t="shared" si="3"/>
        <v/>
      </c>
      <c r="D44" s="55"/>
      <c r="E44" s="221"/>
      <c r="F44" s="222"/>
      <c r="G44" s="51"/>
    </row>
    <row r="45" spans="1:7" s="52" customFormat="1" x14ac:dyDescent="0.3">
      <c r="A45" s="54"/>
      <c r="B45" s="54"/>
      <c r="C45" s="154" t="str">
        <f t="shared" si="3"/>
        <v/>
      </c>
      <c r="D45" s="55"/>
      <c r="E45" s="221"/>
      <c r="F45" s="222"/>
      <c r="G45" s="51"/>
    </row>
    <row r="46" spans="1:7" s="52" customFormat="1" x14ac:dyDescent="0.3">
      <c r="A46" s="54"/>
      <c r="B46" s="54"/>
      <c r="C46" s="154" t="str">
        <f t="shared" si="3"/>
        <v/>
      </c>
      <c r="D46" s="55"/>
      <c r="E46" s="221"/>
      <c r="F46" s="222"/>
      <c r="G46" s="51"/>
    </row>
    <row r="47" spans="1:7" s="52" customFormat="1" ht="15" thickBot="1" x14ac:dyDescent="0.35">
      <c r="A47" s="56"/>
      <c r="B47" s="56"/>
      <c r="C47" s="155" t="str">
        <f t="shared" si="3"/>
        <v/>
      </c>
      <c r="D47" s="57"/>
      <c r="E47" s="223"/>
      <c r="F47" s="224"/>
      <c r="G47" s="51"/>
    </row>
    <row r="48" spans="1:7" s="52" customFormat="1" ht="15" thickBot="1" x14ac:dyDescent="0.35">
      <c r="A48" s="162" t="s">
        <v>26</v>
      </c>
      <c r="B48" s="83">
        <f>SUM(B40:B47)</f>
        <v>0</v>
      </c>
      <c r="C48" s="162" t="str">
        <f xml:space="preserve"> setValueToTime(B48)</f>
        <v>0h</v>
      </c>
      <c r="D48" s="121"/>
      <c r="E48" s="233"/>
      <c r="F48" s="234"/>
      <c r="G48" s="51"/>
    </row>
    <row r="49" spans="1:7" s="59" customFormat="1" ht="15" thickBot="1" x14ac:dyDescent="0.35">
      <c r="A49" s="77"/>
      <c r="B49" s="77"/>
      <c r="C49" s="77"/>
      <c r="D49" s="77"/>
      <c r="E49" s="77"/>
      <c r="F49" s="77"/>
      <c r="G49" s="58"/>
    </row>
    <row r="50" spans="1:7" s="47" customFormat="1" ht="30" customHeight="1" thickBot="1" x14ac:dyDescent="0.3">
      <c r="A50" s="156" t="s">
        <v>9</v>
      </c>
      <c r="B50" s="164">
        <v>24</v>
      </c>
      <c r="C50" s="164"/>
      <c r="D50" s="157" t="s">
        <v>12</v>
      </c>
      <c r="E50" s="158" t="s">
        <v>74</v>
      </c>
      <c r="F50" s="159" t="s">
        <v>61</v>
      </c>
      <c r="G50" s="46"/>
    </row>
    <row r="51" spans="1:7" s="47" customFormat="1" ht="30" customHeight="1" thickBot="1" x14ac:dyDescent="0.3">
      <c r="A51" s="78" t="s">
        <v>2</v>
      </c>
      <c r="B51" s="161" t="s">
        <v>39</v>
      </c>
      <c r="C51" s="160"/>
      <c r="D51" s="78" t="s">
        <v>10</v>
      </c>
      <c r="E51" s="235" t="s">
        <v>11</v>
      </c>
      <c r="F51" s="236"/>
      <c r="G51" s="46"/>
    </row>
    <row r="52" spans="1:7" s="52" customFormat="1" x14ac:dyDescent="0.3">
      <c r="A52" s="48"/>
      <c r="B52" s="49"/>
      <c r="C52" s="152" t="str">
        <f xml:space="preserve"> IF(B52="","",setValueToTime(B52))</f>
        <v/>
      </c>
      <c r="D52" s="50"/>
      <c r="E52" s="229"/>
      <c r="F52" s="230"/>
      <c r="G52" s="51"/>
    </row>
    <row r="53" spans="1:7" s="52" customFormat="1" x14ac:dyDescent="0.3">
      <c r="A53" s="53"/>
      <c r="B53" s="54"/>
      <c r="C53" s="153" t="str">
        <f t="shared" ref="C53:C59" si="4" xml:space="preserve"> IF(B53="","",setValueToTime(B53))</f>
        <v/>
      </c>
      <c r="D53" s="55"/>
      <c r="E53" s="221"/>
      <c r="F53" s="222"/>
      <c r="G53" s="51"/>
    </row>
    <row r="54" spans="1:7" s="52" customFormat="1" x14ac:dyDescent="0.3">
      <c r="A54" s="53"/>
      <c r="B54" s="54"/>
      <c r="C54" s="153" t="str">
        <f t="shared" si="4"/>
        <v/>
      </c>
      <c r="D54" s="55"/>
      <c r="E54" s="221"/>
      <c r="F54" s="222"/>
      <c r="G54" s="51"/>
    </row>
    <row r="55" spans="1:7" s="52" customFormat="1" x14ac:dyDescent="0.3">
      <c r="A55" s="53"/>
      <c r="B55" s="54"/>
      <c r="C55" s="153" t="str">
        <f t="shared" si="4"/>
        <v/>
      </c>
      <c r="D55" s="55"/>
      <c r="E55" s="221"/>
      <c r="F55" s="222"/>
      <c r="G55" s="51"/>
    </row>
    <row r="56" spans="1:7" s="52" customFormat="1" x14ac:dyDescent="0.3">
      <c r="A56" s="54"/>
      <c r="B56" s="54"/>
      <c r="C56" s="154" t="str">
        <f t="shared" si="4"/>
        <v/>
      </c>
      <c r="D56" s="55"/>
      <c r="E56" s="221"/>
      <c r="F56" s="222"/>
      <c r="G56" s="51"/>
    </row>
    <row r="57" spans="1:7" s="52" customFormat="1" x14ac:dyDescent="0.3">
      <c r="A57" s="54"/>
      <c r="B57" s="54"/>
      <c r="C57" s="154" t="str">
        <f t="shared" si="4"/>
        <v/>
      </c>
      <c r="D57" s="55"/>
      <c r="E57" s="221"/>
      <c r="F57" s="222"/>
      <c r="G57" s="51"/>
    </row>
    <row r="58" spans="1:7" s="52" customFormat="1" x14ac:dyDescent="0.3">
      <c r="A58" s="54"/>
      <c r="B58" s="54"/>
      <c r="C58" s="154" t="str">
        <f t="shared" si="4"/>
        <v/>
      </c>
      <c r="D58" s="55"/>
      <c r="E58" s="221"/>
      <c r="F58" s="222"/>
      <c r="G58" s="51"/>
    </row>
    <row r="59" spans="1:7" s="52" customFormat="1" ht="15" thickBot="1" x14ac:dyDescent="0.35">
      <c r="A59" s="56"/>
      <c r="B59" s="56"/>
      <c r="C59" s="155" t="str">
        <f t="shared" si="4"/>
        <v/>
      </c>
      <c r="D59" s="57"/>
      <c r="E59" s="223"/>
      <c r="F59" s="224"/>
      <c r="G59" s="51"/>
    </row>
    <row r="60" spans="1:7" s="52" customFormat="1" ht="15" thickBot="1" x14ac:dyDescent="0.35">
      <c r="A60" s="162" t="s">
        <v>26</v>
      </c>
      <c r="B60" s="83">
        <f>SUM(B52:B59)</f>
        <v>0</v>
      </c>
      <c r="C60" s="162" t="str">
        <f xml:space="preserve"> setValueToTime(B60)</f>
        <v>0h</v>
      </c>
      <c r="D60" s="121"/>
      <c r="E60" s="233"/>
      <c r="F60" s="234"/>
      <c r="G60" s="51"/>
    </row>
    <row r="61" spans="1:7" s="59" customFormat="1" ht="15" thickBot="1" x14ac:dyDescent="0.35">
      <c r="A61" s="77"/>
      <c r="B61" s="77"/>
      <c r="C61" s="77"/>
      <c r="D61" s="77"/>
      <c r="E61" s="77"/>
      <c r="F61" s="77"/>
      <c r="G61" s="58"/>
    </row>
    <row r="62" spans="1:7" s="47" customFormat="1" ht="30" customHeight="1" thickBot="1" x14ac:dyDescent="0.3">
      <c r="A62" s="156" t="s">
        <v>9</v>
      </c>
      <c r="B62" s="164">
        <v>23</v>
      </c>
      <c r="C62" s="164"/>
      <c r="D62" s="157" t="s">
        <v>12</v>
      </c>
      <c r="E62" s="158" t="s">
        <v>74</v>
      </c>
      <c r="F62" s="159" t="s">
        <v>60</v>
      </c>
      <c r="G62" s="46"/>
    </row>
    <row r="63" spans="1:7" s="47" customFormat="1" ht="30" customHeight="1" thickBot="1" x14ac:dyDescent="0.3">
      <c r="A63" s="78" t="s">
        <v>2</v>
      </c>
      <c r="B63" s="161" t="s">
        <v>39</v>
      </c>
      <c r="C63" s="160"/>
      <c r="D63" s="78" t="s">
        <v>10</v>
      </c>
      <c r="E63" s="235" t="s">
        <v>11</v>
      </c>
      <c r="F63" s="236"/>
      <c r="G63" s="46"/>
    </row>
    <row r="64" spans="1:7" s="52" customFormat="1" x14ac:dyDescent="0.3">
      <c r="A64" s="48"/>
      <c r="B64" s="49"/>
      <c r="C64" s="152" t="str">
        <f xml:space="preserve"> IF(B64="","",setValueToTime(B64))</f>
        <v/>
      </c>
      <c r="D64" s="50"/>
      <c r="E64" s="229"/>
      <c r="F64" s="230"/>
      <c r="G64" s="51"/>
    </row>
    <row r="65" spans="1:7" s="52" customFormat="1" x14ac:dyDescent="0.3">
      <c r="A65" s="53"/>
      <c r="B65" s="54"/>
      <c r="C65" s="153" t="str">
        <f t="shared" ref="C65:C71" si="5" xml:space="preserve"> IF(B65="","",setValueToTime(B65))</f>
        <v/>
      </c>
      <c r="D65" s="55"/>
      <c r="E65" s="221"/>
      <c r="F65" s="222"/>
      <c r="G65" s="51"/>
    </row>
    <row r="66" spans="1:7" s="52" customFormat="1" x14ac:dyDescent="0.3">
      <c r="A66" s="53"/>
      <c r="B66" s="54"/>
      <c r="C66" s="153" t="str">
        <f t="shared" si="5"/>
        <v/>
      </c>
      <c r="D66" s="55"/>
      <c r="E66" s="221"/>
      <c r="F66" s="222"/>
      <c r="G66" s="51"/>
    </row>
    <row r="67" spans="1:7" s="52" customFormat="1" x14ac:dyDescent="0.3">
      <c r="A67" s="53"/>
      <c r="B67" s="54"/>
      <c r="C67" s="153" t="str">
        <f t="shared" si="5"/>
        <v/>
      </c>
      <c r="D67" s="55"/>
      <c r="E67" s="221"/>
      <c r="F67" s="222"/>
      <c r="G67" s="51"/>
    </row>
    <row r="68" spans="1:7" s="52" customFormat="1" x14ac:dyDescent="0.3">
      <c r="A68" s="54"/>
      <c r="B68" s="54"/>
      <c r="C68" s="154" t="str">
        <f t="shared" si="5"/>
        <v/>
      </c>
      <c r="D68" s="55"/>
      <c r="E68" s="221"/>
      <c r="F68" s="222"/>
      <c r="G68" s="51"/>
    </row>
    <row r="69" spans="1:7" s="52" customFormat="1" x14ac:dyDescent="0.3">
      <c r="A69" s="54"/>
      <c r="B69" s="54"/>
      <c r="C69" s="154" t="str">
        <f t="shared" si="5"/>
        <v/>
      </c>
      <c r="D69" s="55"/>
      <c r="E69" s="221"/>
      <c r="F69" s="222"/>
      <c r="G69" s="51"/>
    </row>
    <row r="70" spans="1:7" s="52" customFormat="1" x14ac:dyDescent="0.3">
      <c r="A70" s="54"/>
      <c r="B70" s="54"/>
      <c r="C70" s="154" t="str">
        <f t="shared" si="5"/>
        <v/>
      </c>
      <c r="D70" s="55"/>
      <c r="E70" s="221"/>
      <c r="F70" s="222"/>
      <c r="G70" s="51"/>
    </row>
    <row r="71" spans="1:7" s="52" customFormat="1" ht="15" thickBot="1" x14ac:dyDescent="0.35">
      <c r="A71" s="56"/>
      <c r="B71" s="56"/>
      <c r="C71" s="155" t="str">
        <f t="shared" si="5"/>
        <v/>
      </c>
      <c r="D71" s="57"/>
      <c r="E71" s="223"/>
      <c r="F71" s="224"/>
      <c r="G71" s="51"/>
    </row>
    <row r="72" spans="1:7" s="52" customFormat="1" ht="15" thickBot="1" x14ac:dyDescent="0.35">
      <c r="A72" s="162" t="s">
        <v>26</v>
      </c>
      <c r="B72" s="83">
        <f>SUM(B64:B71)</f>
        <v>0</v>
      </c>
      <c r="C72" s="162" t="str">
        <f xml:space="preserve"> setValueToTime(B72)</f>
        <v>0h</v>
      </c>
      <c r="D72" s="121"/>
      <c r="E72" s="233"/>
      <c r="F72" s="234"/>
      <c r="G72" s="51"/>
    </row>
    <row r="73" spans="1:7" s="59" customFormat="1" ht="15" thickBot="1" x14ac:dyDescent="0.35">
      <c r="A73" s="77"/>
      <c r="B73" s="77"/>
      <c r="C73" s="77"/>
      <c r="D73" s="77"/>
      <c r="E73" s="77"/>
      <c r="F73" s="77"/>
      <c r="G73" s="58"/>
    </row>
    <row r="74" spans="1:7" s="47" customFormat="1" ht="30" customHeight="1" thickBot="1" x14ac:dyDescent="0.3">
      <c r="A74" s="156" t="s">
        <v>9</v>
      </c>
      <c r="B74" s="164">
        <v>22</v>
      </c>
      <c r="C74" s="164"/>
      <c r="D74" s="157" t="s">
        <v>12</v>
      </c>
      <c r="E74" s="158" t="s">
        <v>73</v>
      </c>
      <c r="F74" s="159" t="s">
        <v>61</v>
      </c>
      <c r="G74" s="46"/>
    </row>
    <row r="75" spans="1:7" s="47" customFormat="1" ht="30" customHeight="1" thickBot="1" x14ac:dyDescent="0.3">
      <c r="A75" s="78" t="s">
        <v>2</v>
      </c>
      <c r="B75" s="161" t="s">
        <v>39</v>
      </c>
      <c r="C75" s="160"/>
      <c r="D75" s="78" t="s">
        <v>10</v>
      </c>
      <c r="E75" s="235" t="s">
        <v>11</v>
      </c>
      <c r="F75" s="236"/>
      <c r="G75" s="46"/>
    </row>
    <row r="76" spans="1:7" s="52" customFormat="1" x14ac:dyDescent="0.3">
      <c r="A76" s="48"/>
      <c r="B76" s="49"/>
      <c r="C76" s="152" t="str">
        <f xml:space="preserve"> IF(B76="","",setValueToTime(B76))</f>
        <v/>
      </c>
      <c r="D76" s="50"/>
      <c r="E76" s="229"/>
      <c r="F76" s="230"/>
      <c r="G76" s="51"/>
    </row>
    <row r="77" spans="1:7" s="52" customFormat="1" x14ac:dyDescent="0.3">
      <c r="A77" s="53"/>
      <c r="B77" s="54"/>
      <c r="C77" s="153" t="str">
        <f t="shared" ref="C77:C83" si="6" xml:space="preserve"> IF(B77="","",setValueToTime(B77))</f>
        <v/>
      </c>
      <c r="D77" s="55"/>
      <c r="E77" s="221"/>
      <c r="F77" s="222"/>
      <c r="G77" s="51"/>
    </row>
    <row r="78" spans="1:7" s="52" customFormat="1" x14ac:dyDescent="0.3">
      <c r="A78" s="53"/>
      <c r="B78" s="54"/>
      <c r="C78" s="153" t="str">
        <f t="shared" si="6"/>
        <v/>
      </c>
      <c r="D78" s="55"/>
      <c r="E78" s="221"/>
      <c r="F78" s="222"/>
      <c r="G78" s="51"/>
    </row>
    <row r="79" spans="1:7" s="52" customFormat="1" x14ac:dyDescent="0.3">
      <c r="A79" s="53"/>
      <c r="B79" s="54"/>
      <c r="C79" s="153" t="str">
        <f t="shared" si="6"/>
        <v/>
      </c>
      <c r="D79" s="55"/>
      <c r="E79" s="221"/>
      <c r="F79" s="222"/>
      <c r="G79" s="51"/>
    </row>
    <row r="80" spans="1:7" s="52" customFormat="1" x14ac:dyDescent="0.3">
      <c r="A80" s="54"/>
      <c r="B80" s="54"/>
      <c r="C80" s="154" t="str">
        <f t="shared" si="6"/>
        <v/>
      </c>
      <c r="D80" s="55"/>
      <c r="E80" s="221"/>
      <c r="F80" s="222"/>
      <c r="G80" s="51"/>
    </row>
    <row r="81" spans="1:7" s="52" customFormat="1" x14ac:dyDescent="0.3">
      <c r="A81" s="54"/>
      <c r="B81" s="54"/>
      <c r="C81" s="154" t="str">
        <f t="shared" si="6"/>
        <v/>
      </c>
      <c r="D81" s="55"/>
      <c r="E81" s="221"/>
      <c r="F81" s="222"/>
      <c r="G81" s="51"/>
    </row>
    <row r="82" spans="1:7" s="52" customFormat="1" x14ac:dyDescent="0.3">
      <c r="A82" s="54"/>
      <c r="B82" s="54"/>
      <c r="C82" s="154" t="str">
        <f t="shared" si="6"/>
        <v/>
      </c>
      <c r="D82" s="55"/>
      <c r="E82" s="221"/>
      <c r="F82" s="222"/>
      <c r="G82" s="51"/>
    </row>
    <row r="83" spans="1:7" s="52" customFormat="1" ht="15" thickBot="1" x14ac:dyDescent="0.35">
      <c r="A83" s="56"/>
      <c r="B83" s="56"/>
      <c r="C83" s="155" t="str">
        <f t="shared" si="6"/>
        <v/>
      </c>
      <c r="D83" s="57"/>
      <c r="E83" s="223"/>
      <c r="F83" s="224"/>
      <c r="G83" s="51"/>
    </row>
    <row r="84" spans="1:7" s="52" customFormat="1" ht="15" thickBot="1" x14ac:dyDescent="0.35">
      <c r="A84" s="162" t="s">
        <v>26</v>
      </c>
      <c r="B84" s="83">
        <f>SUM(B76:B83)</f>
        <v>0</v>
      </c>
      <c r="C84" s="162" t="str">
        <f xml:space="preserve"> setValueToTime(B84)</f>
        <v>0h</v>
      </c>
      <c r="D84" s="121"/>
      <c r="E84" s="233"/>
      <c r="F84" s="234"/>
      <c r="G84" s="51"/>
    </row>
    <row r="85" spans="1:7" s="59" customFormat="1" ht="15" thickBot="1" x14ac:dyDescent="0.35">
      <c r="A85" s="77"/>
      <c r="B85" s="77"/>
      <c r="C85" s="77"/>
      <c r="D85" s="77"/>
      <c r="E85" s="77"/>
      <c r="F85" s="77"/>
      <c r="G85" s="58"/>
    </row>
    <row r="86" spans="1:7" s="47" customFormat="1" ht="30" customHeight="1" thickBot="1" x14ac:dyDescent="0.3">
      <c r="A86" s="156" t="s">
        <v>9</v>
      </c>
      <c r="B86" s="164">
        <v>21</v>
      </c>
      <c r="C86" s="164"/>
      <c r="D86" s="157" t="s">
        <v>12</v>
      </c>
      <c r="E86" s="158" t="s">
        <v>73</v>
      </c>
      <c r="F86" s="159" t="s">
        <v>60</v>
      </c>
      <c r="G86" s="46"/>
    </row>
    <row r="87" spans="1:7" s="47" customFormat="1" ht="30" customHeight="1" thickBot="1" x14ac:dyDescent="0.3">
      <c r="A87" s="78" t="s">
        <v>2</v>
      </c>
      <c r="B87" s="161" t="s">
        <v>39</v>
      </c>
      <c r="C87" s="160"/>
      <c r="D87" s="78" t="s">
        <v>10</v>
      </c>
      <c r="E87" s="235" t="s">
        <v>11</v>
      </c>
      <c r="F87" s="236"/>
      <c r="G87" s="46"/>
    </row>
    <row r="88" spans="1:7" s="52" customFormat="1" x14ac:dyDescent="0.3">
      <c r="A88" s="48"/>
      <c r="B88" s="49"/>
      <c r="C88" s="152" t="str">
        <f xml:space="preserve"> IF(B88="","",setValueToTime(B88))</f>
        <v/>
      </c>
      <c r="D88" s="50"/>
      <c r="E88" s="229"/>
      <c r="F88" s="230"/>
      <c r="G88" s="51"/>
    </row>
    <row r="89" spans="1:7" s="52" customFormat="1" x14ac:dyDescent="0.3">
      <c r="A89" s="53"/>
      <c r="B89" s="54"/>
      <c r="C89" s="153" t="str">
        <f t="shared" ref="C89:C95" si="7" xml:space="preserve"> IF(B89="","",setValueToTime(B89))</f>
        <v/>
      </c>
      <c r="D89" s="55"/>
      <c r="E89" s="221"/>
      <c r="F89" s="222"/>
      <c r="G89" s="51"/>
    </row>
    <row r="90" spans="1:7" s="52" customFormat="1" x14ac:dyDescent="0.3">
      <c r="A90" s="53"/>
      <c r="B90" s="54"/>
      <c r="C90" s="153" t="str">
        <f t="shared" si="7"/>
        <v/>
      </c>
      <c r="D90" s="55"/>
      <c r="E90" s="221"/>
      <c r="F90" s="222"/>
      <c r="G90" s="51"/>
    </row>
    <row r="91" spans="1:7" s="52" customFormat="1" x14ac:dyDescent="0.3">
      <c r="A91" s="53"/>
      <c r="B91" s="54"/>
      <c r="C91" s="153" t="str">
        <f t="shared" si="7"/>
        <v/>
      </c>
      <c r="D91" s="55"/>
      <c r="E91" s="221"/>
      <c r="F91" s="222"/>
      <c r="G91" s="51"/>
    </row>
    <row r="92" spans="1:7" s="52" customFormat="1" x14ac:dyDescent="0.3">
      <c r="A92" s="54"/>
      <c r="B92" s="54"/>
      <c r="C92" s="154" t="str">
        <f t="shared" si="7"/>
        <v/>
      </c>
      <c r="D92" s="55"/>
      <c r="E92" s="221"/>
      <c r="F92" s="222"/>
      <c r="G92" s="51"/>
    </row>
    <row r="93" spans="1:7" s="52" customFormat="1" x14ac:dyDescent="0.3">
      <c r="A93" s="54"/>
      <c r="B93" s="54"/>
      <c r="C93" s="154" t="str">
        <f t="shared" si="7"/>
        <v/>
      </c>
      <c r="D93" s="55"/>
      <c r="E93" s="221"/>
      <c r="F93" s="222"/>
      <c r="G93" s="51"/>
    </row>
    <row r="94" spans="1:7" s="52" customFormat="1" x14ac:dyDescent="0.3">
      <c r="A94" s="54"/>
      <c r="B94" s="54"/>
      <c r="C94" s="154" t="str">
        <f t="shared" si="7"/>
        <v/>
      </c>
      <c r="D94" s="55"/>
      <c r="E94" s="221"/>
      <c r="F94" s="222"/>
      <c r="G94" s="51"/>
    </row>
    <row r="95" spans="1:7" s="52" customFormat="1" ht="15" thickBot="1" x14ac:dyDescent="0.35">
      <c r="A95" s="56"/>
      <c r="B95" s="56"/>
      <c r="C95" s="155" t="str">
        <f t="shared" si="7"/>
        <v/>
      </c>
      <c r="D95" s="57"/>
      <c r="E95" s="223"/>
      <c r="F95" s="224"/>
      <c r="G95" s="51"/>
    </row>
    <row r="96" spans="1:7" s="52" customFormat="1" ht="15" thickBot="1" x14ac:dyDescent="0.35">
      <c r="A96" s="162" t="s">
        <v>26</v>
      </c>
      <c r="B96" s="83">
        <f>SUM(B88:B95)</f>
        <v>0</v>
      </c>
      <c r="C96" s="162" t="str">
        <f xml:space="preserve"> setValueToTime(B96)</f>
        <v>0h</v>
      </c>
      <c r="D96" s="121"/>
      <c r="E96" s="233"/>
      <c r="F96" s="234"/>
      <c r="G96" s="51"/>
    </row>
    <row r="97" spans="1:7" s="59" customFormat="1" ht="15" thickBot="1" x14ac:dyDescent="0.35">
      <c r="A97" s="77"/>
      <c r="B97" s="77"/>
      <c r="C97" s="77"/>
      <c r="D97" s="77"/>
      <c r="E97" s="77"/>
      <c r="F97" s="77"/>
      <c r="G97" s="58"/>
    </row>
    <row r="98" spans="1:7" s="47" customFormat="1" ht="30" customHeight="1" thickBot="1" x14ac:dyDescent="0.3">
      <c r="A98" s="156" t="s">
        <v>9</v>
      </c>
      <c r="B98" s="164">
        <v>20</v>
      </c>
      <c r="C98" s="164"/>
      <c r="D98" s="157" t="s">
        <v>12</v>
      </c>
      <c r="E98" s="158" t="s">
        <v>72</v>
      </c>
      <c r="F98" s="159" t="s">
        <v>61</v>
      </c>
      <c r="G98" s="46"/>
    </row>
    <row r="99" spans="1:7" s="47" customFormat="1" ht="30" customHeight="1" thickBot="1" x14ac:dyDescent="0.3">
      <c r="A99" s="78" t="s">
        <v>2</v>
      </c>
      <c r="B99" s="161" t="s">
        <v>39</v>
      </c>
      <c r="C99" s="160"/>
      <c r="D99" s="78" t="s">
        <v>10</v>
      </c>
      <c r="E99" s="235" t="s">
        <v>11</v>
      </c>
      <c r="F99" s="236"/>
      <c r="G99" s="46"/>
    </row>
    <row r="100" spans="1:7" s="52" customFormat="1" x14ac:dyDescent="0.3">
      <c r="A100" s="48"/>
      <c r="B100" s="49"/>
      <c r="C100" s="152" t="str">
        <f xml:space="preserve"> IF(B100="","",setValueToTime(B100))</f>
        <v/>
      </c>
      <c r="D100" s="50"/>
      <c r="E100" s="229"/>
      <c r="F100" s="230"/>
      <c r="G100" s="51"/>
    </row>
    <row r="101" spans="1:7" s="52" customFormat="1" x14ac:dyDescent="0.3">
      <c r="A101" s="53"/>
      <c r="B101" s="54"/>
      <c r="C101" s="153" t="str">
        <f t="shared" ref="C101:C107" si="8" xml:space="preserve"> IF(B101="","",setValueToTime(B101))</f>
        <v/>
      </c>
      <c r="D101" s="55"/>
      <c r="E101" s="221"/>
      <c r="F101" s="222"/>
      <c r="G101" s="51"/>
    </row>
    <row r="102" spans="1:7" s="52" customFormat="1" x14ac:dyDescent="0.3">
      <c r="A102" s="53"/>
      <c r="B102" s="54"/>
      <c r="C102" s="153" t="str">
        <f t="shared" si="8"/>
        <v/>
      </c>
      <c r="D102" s="55"/>
      <c r="E102" s="221"/>
      <c r="F102" s="222"/>
      <c r="G102" s="51"/>
    </row>
    <row r="103" spans="1:7" s="52" customFormat="1" x14ac:dyDescent="0.3">
      <c r="A103" s="53"/>
      <c r="B103" s="54"/>
      <c r="C103" s="153" t="str">
        <f t="shared" si="8"/>
        <v/>
      </c>
      <c r="D103" s="55"/>
      <c r="E103" s="221"/>
      <c r="F103" s="222"/>
      <c r="G103" s="51"/>
    </row>
    <row r="104" spans="1:7" s="52" customFormat="1" x14ac:dyDescent="0.3">
      <c r="A104" s="54"/>
      <c r="B104" s="54"/>
      <c r="C104" s="154" t="str">
        <f t="shared" si="8"/>
        <v/>
      </c>
      <c r="D104" s="55"/>
      <c r="E104" s="221"/>
      <c r="F104" s="222"/>
      <c r="G104" s="51"/>
    </row>
    <row r="105" spans="1:7" s="52" customFormat="1" x14ac:dyDescent="0.3">
      <c r="A105" s="54"/>
      <c r="B105" s="54"/>
      <c r="C105" s="154" t="str">
        <f t="shared" si="8"/>
        <v/>
      </c>
      <c r="D105" s="55"/>
      <c r="E105" s="221"/>
      <c r="F105" s="222"/>
      <c r="G105" s="51"/>
    </row>
    <row r="106" spans="1:7" s="52" customFormat="1" x14ac:dyDescent="0.3">
      <c r="A106" s="54"/>
      <c r="B106" s="54"/>
      <c r="C106" s="154" t="str">
        <f t="shared" si="8"/>
        <v/>
      </c>
      <c r="D106" s="55"/>
      <c r="E106" s="221"/>
      <c r="F106" s="222"/>
      <c r="G106" s="51"/>
    </row>
    <row r="107" spans="1:7" s="52" customFormat="1" ht="15" thickBot="1" x14ac:dyDescent="0.35">
      <c r="A107" s="56"/>
      <c r="B107" s="56"/>
      <c r="C107" s="155" t="str">
        <f t="shared" si="8"/>
        <v/>
      </c>
      <c r="D107" s="57"/>
      <c r="E107" s="223"/>
      <c r="F107" s="224"/>
      <c r="G107" s="51"/>
    </row>
    <row r="108" spans="1:7" s="52" customFormat="1" ht="15" thickBot="1" x14ac:dyDescent="0.35">
      <c r="A108" s="162" t="s">
        <v>26</v>
      </c>
      <c r="B108" s="83">
        <f>SUM(B100:B107)</f>
        <v>0</v>
      </c>
      <c r="C108" s="162" t="str">
        <f xml:space="preserve"> setValueToTime(B108)</f>
        <v>0h</v>
      </c>
      <c r="D108" s="121"/>
      <c r="E108" s="233"/>
      <c r="F108" s="234"/>
      <c r="G108" s="51"/>
    </row>
    <row r="109" spans="1:7" s="59" customFormat="1" ht="15" thickBot="1" x14ac:dyDescent="0.35">
      <c r="A109" s="77"/>
      <c r="B109" s="77"/>
      <c r="C109" s="77"/>
      <c r="D109" s="77"/>
      <c r="E109" s="77"/>
      <c r="F109" s="77"/>
      <c r="G109" s="58"/>
    </row>
    <row r="110" spans="1:7" s="47" customFormat="1" ht="30" customHeight="1" thickBot="1" x14ac:dyDescent="0.3">
      <c r="A110" s="156" t="s">
        <v>9</v>
      </c>
      <c r="B110" s="164">
        <v>19</v>
      </c>
      <c r="C110" s="164"/>
      <c r="D110" s="157" t="s">
        <v>12</v>
      </c>
      <c r="E110" s="158" t="s">
        <v>71</v>
      </c>
      <c r="F110" s="159" t="s">
        <v>61</v>
      </c>
      <c r="G110" s="46"/>
    </row>
    <row r="111" spans="1:7" s="47" customFormat="1" ht="30" customHeight="1" thickBot="1" x14ac:dyDescent="0.3">
      <c r="A111" s="78" t="s">
        <v>2</v>
      </c>
      <c r="B111" s="161" t="s">
        <v>39</v>
      </c>
      <c r="C111" s="160"/>
      <c r="D111" s="78" t="s">
        <v>10</v>
      </c>
      <c r="E111" s="235" t="s">
        <v>11</v>
      </c>
      <c r="F111" s="236"/>
      <c r="G111" s="46"/>
    </row>
    <row r="112" spans="1:7" s="52" customFormat="1" x14ac:dyDescent="0.3">
      <c r="A112" s="48"/>
      <c r="B112" s="49"/>
      <c r="C112" s="152" t="str">
        <f xml:space="preserve"> IF(B112="","",setValueToTime(B112))</f>
        <v/>
      </c>
      <c r="D112" s="50"/>
      <c r="E112" s="229"/>
      <c r="F112" s="230"/>
      <c r="G112" s="51"/>
    </row>
    <row r="113" spans="1:7" s="52" customFormat="1" x14ac:dyDescent="0.3">
      <c r="A113" s="53"/>
      <c r="B113" s="54"/>
      <c r="C113" s="153" t="str">
        <f t="shared" ref="C113:C119" si="9" xml:space="preserve"> IF(B113="","",setValueToTime(B113))</f>
        <v/>
      </c>
      <c r="D113" s="55"/>
      <c r="E113" s="221"/>
      <c r="F113" s="222"/>
      <c r="G113" s="51"/>
    </row>
    <row r="114" spans="1:7" s="52" customFormat="1" x14ac:dyDescent="0.3">
      <c r="A114" s="53"/>
      <c r="B114" s="54"/>
      <c r="C114" s="153" t="str">
        <f t="shared" si="9"/>
        <v/>
      </c>
      <c r="D114" s="55"/>
      <c r="E114" s="221"/>
      <c r="F114" s="222"/>
      <c r="G114" s="51"/>
    </row>
    <row r="115" spans="1:7" s="52" customFormat="1" x14ac:dyDescent="0.3">
      <c r="A115" s="53"/>
      <c r="B115" s="54"/>
      <c r="C115" s="153" t="str">
        <f t="shared" si="9"/>
        <v/>
      </c>
      <c r="D115" s="55"/>
      <c r="E115" s="221"/>
      <c r="F115" s="222"/>
      <c r="G115" s="51"/>
    </row>
    <row r="116" spans="1:7" s="52" customFormat="1" x14ac:dyDescent="0.3">
      <c r="A116" s="54"/>
      <c r="B116" s="54"/>
      <c r="C116" s="154" t="str">
        <f t="shared" si="9"/>
        <v/>
      </c>
      <c r="D116" s="55"/>
      <c r="E116" s="221"/>
      <c r="F116" s="222"/>
      <c r="G116" s="51"/>
    </row>
    <row r="117" spans="1:7" s="52" customFormat="1" x14ac:dyDescent="0.3">
      <c r="A117" s="54"/>
      <c r="B117" s="54"/>
      <c r="C117" s="154" t="str">
        <f t="shared" si="9"/>
        <v/>
      </c>
      <c r="D117" s="55"/>
      <c r="E117" s="221"/>
      <c r="F117" s="222"/>
      <c r="G117" s="51"/>
    </row>
    <row r="118" spans="1:7" s="52" customFormat="1" x14ac:dyDescent="0.3">
      <c r="A118" s="54"/>
      <c r="B118" s="54"/>
      <c r="C118" s="154" t="str">
        <f t="shared" si="9"/>
        <v/>
      </c>
      <c r="D118" s="55"/>
      <c r="E118" s="221"/>
      <c r="F118" s="222"/>
      <c r="G118" s="51"/>
    </row>
    <row r="119" spans="1:7" s="52" customFormat="1" ht="15" thickBot="1" x14ac:dyDescent="0.35">
      <c r="A119" s="56"/>
      <c r="B119" s="56"/>
      <c r="C119" s="155" t="str">
        <f t="shared" si="9"/>
        <v/>
      </c>
      <c r="D119" s="57"/>
      <c r="E119" s="223"/>
      <c r="F119" s="224"/>
      <c r="G119" s="51"/>
    </row>
    <row r="120" spans="1:7" s="52" customFormat="1" ht="15" thickBot="1" x14ac:dyDescent="0.35">
      <c r="A120" s="162" t="s">
        <v>26</v>
      </c>
      <c r="B120" s="83">
        <f>SUM(B112:B119)</f>
        <v>0</v>
      </c>
      <c r="C120" s="162" t="str">
        <f xml:space="preserve"> setValueToTime(B120)</f>
        <v>0h</v>
      </c>
      <c r="D120" s="121"/>
      <c r="E120" s="233"/>
      <c r="F120" s="234"/>
      <c r="G120" s="51"/>
    </row>
    <row r="121" spans="1:7" s="59" customFormat="1" ht="15" thickBot="1" x14ac:dyDescent="0.35">
      <c r="A121" s="77"/>
      <c r="B121" s="77"/>
      <c r="C121" s="77"/>
      <c r="D121" s="77"/>
      <c r="E121" s="77"/>
      <c r="F121" s="77"/>
      <c r="G121" s="58"/>
    </row>
    <row r="122" spans="1:7" s="47" customFormat="1" ht="30" customHeight="1" thickBot="1" x14ac:dyDescent="0.3">
      <c r="A122" s="156" t="s">
        <v>9</v>
      </c>
      <c r="B122" s="164">
        <v>18</v>
      </c>
      <c r="C122" s="164"/>
      <c r="D122" s="157" t="s">
        <v>12</v>
      </c>
      <c r="E122" s="158" t="s">
        <v>71</v>
      </c>
      <c r="F122" s="159" t="s">
        <v>60</v>
      </c>
      <c r="G122" s="46"/>
    </row>
    <row r="123" spans="1:7" s="47" customFormat="1" ht="30" customHeight="1" thickBot="1" x14ac:dyDescent="0.3">
      <c r="A123" s="78" t="s">
        <v>2</v>
      </c>
      <c r="B123" s="161" t="s">
        <v>39</v>
      </c>
      <c r="C123" s="160"/>
      <c r="D123" s="78" t="s">
        <v>10</v>
      </c>
      <c r="E123" s="235" t="s">
        <v>11</v>
      </c>
      <c r="F123" s="236"/>
      <c r="G123" s="46"/>
    </row>
    <row r="124" spans="1:7" s="52" customFormat="1" x14ac:dyDescent="0.3">
      <c r="A124" s="48"/>
      <c r="B124" s="49"/>
      <c r="C124" s="152" t="str">
        <f xml:space="preserve"> IF(B124="","",setValueToTime(B124))</f>
        <v/>
      </c>
      <c r="D124" s="50"/>
      <c r="E124" s="229"/>
      <c r="F124" s="230"/>
      <c r="G124" s="51"/>
    </row>
    <row r="125" spans="1:7" s="52" customFormat="1" x14ac:dyDescent="0.3">
      <c r="A125" s="53"/>
      <c r="B125" s="54"/>
      <c r="C125" s="153" t="str">
        <f t="shared" ref="C125:C131" si="10" xml:space="preserve"> IF(B125="","",setValueToTime(B125))</f>
        <v/>
      </c>
      <c r="D125" s="55"/>
      <c r="E125" s="221"/>
      <c r="F125" s="222"/>
      <c r="G125" s="51"/>
    </row>
    <row r="126" spans="1:7" s="52" customFormat="1" x14ac:dyDescent="0.3">
      <c r="A126" s="53"/>
      <c r="B126" s="54"/>
      <c r="C126" s="153" t="str">
        <f t="shared" si="10"/>
        <v/>
      </c>
      <c r="D126" s="55"/>
      <c r="E126" s="221"/>
      <c r="F126" s="222"/>
      <c r="G126" s="51"/>
    </row>
    <row r="127" spans="1:7" s="52" customFormat="1" x14ac:dyDescent="0.3">
      <c r="A127" s="53"/>
      <c r="B127" s="54"/>
      <c r="C127" s="153" t="str">
        <f t="shared" si="10"/>
        <v/>
      </c>
      <c r="D127" s="55"/>
      <c r="E127" s="221"/>
      <c r="F127" s="222"/>
      <c r="G127" s="51"/>
    </row>
    <row r="128" spans="1:7" s="52" customFormat="1" x14ac:dyDescent="0.3">
      <c r="A128" s="54"/>
      <c r="B128" s="54"/>
      <c r="C128" s="154" t="str">
        <f t="shared" si="10"/>
        <v/>
      </c>
      <c r="D128" s="55"/>
      <c r="E128" s="221"/>
      <c r="F128" s="222"/>
      <c r="G128" s="51"/>
    </row>
    <row r="129" spans="1:7" s="52" customFormat="1" x14ac:dyDescent="0.3">
      <c r="A129" s="54"/>
      <c r="B129" s="54"/>
      <c r="C129" s="154" t="str">
        <f t="shared" si="10"/>
        <v/>
      </c>
      <c r="D129" s="55"/>
      <c r="E129" s="221"/>
      <c r="F129" s="222"/>
      <c r="G129" s="51"/>
    </row>
    <row r="130" spans="1:7" s="52" customFormat="1" x14ac:dyDescent="0.3">
      <c r="A130" s="54"/>
      <c r="B130" s="54"/>
      <c r="C130" s="154" t="str">
        <f t="shared" si="10"/>
        <v/>
      </c>
      <c r="D130" s="55"/>
      <c r="E130" s="221"/>
      <c r="F130" s="222"/>
      <c r="G130" s="51"/>
    </row>
    <row r="131" spans="1:7" s="52" customFormat="1" ht="15" thickBot="1" x14ac:dyDescent="0.35">
      <c r="A131" s="56"/>
      <c r="B131" s="56"/>
      <c r="C131" s="155" t="str">
        <f t="shared" si="10"/>
        <v/>
      </c>
      <c r="D131" s="57"/>
      <c r="E131" s="223"/>
      <c r="F131" s="224"/>
      <c r="G131" s="51"/>
    </row>
    <row r="132" spans="1:7" s="52" customFormat="1" ht="15" thickBot="1" x14ac:dyDescent="0.35">
      <c r="A132" s="162" t="s">
        <v>26</v>
      </c>
      <c r="B132" s="83">
        <f>SUM(B124:B131)</f>
        <v>0</v>
      </c>
      <c r="C132" s="162" t="str">
        <f xml:space="preserve"> setValueToTime(B132)</f>
        <v>0h</v>
      </c>
      <c r="D132" s="121"/>
      <c r="E132" s="233"/>
      <c r="F132" s="234"/>
      <c r="G132" s="51"/>
    </row>
    <row r="133" spans="1:7" s="59" customFormat="1" ht="15" thickBot="1" x14ac:dyDescent="0.35">
      <c r="A133" s="77"/>
      <c r="B133" s="77"/>
      <c r="C133" s="77"/>
      <c r="D133" s="77"/>
      <c r="E133" s="77"/>
      <c r="F133" s="77"/>
      <c r="G133" s="58"/>
    </row>
    <row r="134" spans="1:7" s="47" customFormat="1" ht="30" customHeight="1" thickBot="1" x14ac:dyDescent="0.3">
      <c r="A134" s="156" t="s">
        <v>9</v>
      </c>
      <c r="B134" s="164">
        <v>17</v>
      </c>
      <c r="C134" s="164"/>
      <c r="D134" s="157" t="s">
        <v>12</v>
      </c>
      <c r="E134" s="158" t="s">
        <v>70</v>
      </c>
      <c r="F134" s="159" t="s">
        <v>61</v>
      </c>
      <c r="G134" s="46"/>
    </row>
    <row r="135" spans="1:7" s="47" customFormat="1" ht="30" customHeight="1" thickBot="1" x14ac:dyDescent="0.3">
      <c r="A135" s="78" t="s">
        <v>2</v>
      </c>
      <c r="B135" s="161" t="s">
        <v>39</v>
      </c>
      <c r="C135" s="160"/>
      <c r="D135" s="78" t="s">
        <v>10</v>
      </c>
      <c r="E135" s="235" t="s">
        <v>11</v>
      </c>
      <c r="F135" s="236"/>
      <c r="G135" s="46"/>
    </row>
    <row r="136" spans="1:7" s="52" customFormat="1" ht="67.5" x14ac:dyDescent="0.3">
      <c r="A136" s="48"/>
      <c r="B136" s="49"/>
      <c r="C136" s="152" t="str">
        <f xml:space="preserve"> IF(B136="","",setValueToTime(B136))</f>
        <v/>
      </c>
      <c r="D136" s="50" t="s">
        <v>263</v>
      </c>
      <c r="E136" s="229"/>
      <c r="F136" s="230"/>
      <c r="G136" s="51"/>
    </row>
    <row r="137" spans="1:7" s="52" customFormat="1" x14ac:dyDescent="0.3">
      <c r="A137" s="53"/>
      <c r="B137" s="54"/>
      <c r="C137" s="153" t="str">
        <f t="shared" ref="C137:C143" si="11" xml:space="preserve"> IF(B137="","",setValueToTime(B137))</f>
        <v/>
      </c>
      <c r="D137" s="55"/>
      <c r="E137" s="221"/>
      <c r="F137" s="222"/>
      <c r="G137" s="51"/>
    </row>
    <row r="138" spans="1:7" s="52" customFormat="1" x14ac:dyDescent="0.3">
      <c r="A138" s="53"/>
      <c r="B138" s="54"/>
      <c r="C138" s="153" t="str">
        <f t="shared" si="11"/>
        <v/>
      </c>
      <c r="D138" s="55"/>
      <c r="E138" s="221"/>
      <c r="F138" s="222"/>
      <c r="G138" s="51"/>
    </row>
    <row r="139" spans="1:7" s="52" customFormat="1" x14ac:dyDescent="0.3">
      <c r="A139" s="53"/>
      <c r="B139" s="54"/>
      <c r="C139" s="153" t="str">
        <f t="shared" si="11"/>
        <v/>
      </c>
      <c r="D139" s="55"/>
      <c r="E139" s="221"/>
      <c r="F139" s="222"/>
      <c r="G139" s="51"/>
    </row>
    <row r="140" spans="1:7" s="52" customFormat="1" x14ac:dyDescent="0.3">
      <c r="A140" s="54"/>
      <c r="B140" s="54"/>
      <c r="C140" s="154" t="str">
        <f t="shared" si="11"/>
        <v/>
      </c>
      <c r="D140" s="55"/>
      <c r="E140" s="221"/>
      <c r="F140" s="222"/>
      <c r="G140" s="51"/>
    </row>
    <row r="141" spans="1:7" s="52" customFormat="1" x14ac:dyDescent="0.3">
      <c r="A141" s="54"/>
      <c r="B141" s="54"/>
      <c r="C141" s="154" t="str">
        <f t="shared" si="11"/>
        <v/>
      </c>
      <c r="D141" s="55"/>
      <c r="E141" s="221"/>
      <c r="F141" s="222"/>
      <c r="G141" s="51"/>
    </row>
    <row r="142" spans="1:7" s="52" customFormat="1" x14ac:dyDescent="0.3">
      <c r="A142" s="54"/>
      <c r="B142" s="54"/>
      <c r="C142" s="154" t="str">
        <f t="shared" si="11"/>
        <v/>
      </c>
      <c r="D142" s="55"/>
      <c r="E142" s="221"/>
      <c r="F142" s="222"/>
      <c r="G142" s="51"/>
    </row>
    <row r="143" spans="1:7" s="52" customFormat="1" ht="15" thickBot="1" x14ac:dyDescent="0.35">
      <c r="A143" s="56"/>
      <c r="B143" s="56"/>
      <c r="C143" s="155" t="str">
        <f t="shared" si="11"/>
        <v/>
      </c>
      <c r="D143" s="57"/>
      <c r="E143" s="223"/>
      <c r="F143" s="224"/>
      <c r="G143" s="51"/>
    </row>
    <row r="144" spans="1:7" s="52" customFormat="1" ht="15" thickBot="1" x14ac:dyDescent="0.35">
      <c r="A144" s="162" t="s">
        <v>26</v>
      </c>
      <c r="B144" s="83">
        <f>SUM(B136:B143)</f>
        <v>0</v>
      </c>
      <c r="C144" s="162" t="str">
        <f xml:space="preserve"> setValueToTime(B144)</f>
        <v>0h</v>
      </c>
      <c r="D144" s="121"/>
      <c r="E144" s="233"/>
      <c r="F144" s="234"/>
      <c r="G144" s="51"/>
    </row>
    <row r="145" spans="1:7" s="59" customFormat="1" ht="15" thickBot="1" x14ac:dyDescent="0.35">
      <c r="A145" s="77"/>
      <c r="B145" s="77"/>
      <c r="C145" s="77"/>
      <c r="D145" s="77"/>
      <c r="E145" s="77"/>
      <c r="F145" s="77"/>
      <c r="G145" s="58"/>
    </row>
    <row r="146" spans="1:7" s="47" customFormat="1" ht="30" customHeight="1" thickBot="1" x14ac:dyDescent="0.3">
      <c r="A146" s="156" t="s">
        <v>9</v>
      </c>
      <c r="B146" s="164">
        <v>16</v>
      </c>
      <c r="C146" s="164"/>
      <c r="D146" s="157" t="s">
        <v>12</v>
      </c>
      <c r="E146" s="158" t="s">
        <v>70</v>
      </c>
      <c r="F146" s="159" t="s">
        <v>60</v>
      </c>
      <c r="G146" s="46"/>
    </row>
    <row r="147" spans="1:7" s="47" customFormat="1" ht="30" customHeight="1" thickBot="1" x14ac:dyDescent="0.3">
      <c r="A147" s="78" t="s">
        <v>2</v>
      </c>
      <c r="B147" s="161" t="s">
        <v>39</v>
      </c>
      <c r="C147" s="160"/>
      <c r="D147" s="78" t="s">
        <v>10</v>
      </c>
      <c r="E147" s="235" t="s">
        <v>11</v>
      </c>
      <c r="F147" s="236"/>
      <c r="G147" s="46"/>
    </row>
    <row r="148" spans="1:7" s="52" customFormat="1" ht="27" x14ac:dyDescent="0.3">
      <c r="A148" s="48" t="s">
        <v>172</v>
      </c>
      <c r="B148" s="49">
        <v>1</v>
      </c>
      <c r="C148" s="152" t="str">
        <f xml:space="preserve"> IF(B148="","",setValueToTime(B148))</f>
        <v>0h5min</v>
      </c>
      <c r="D148" s="174" t="s">
        <v>260</v>
      </c>
      <c r="E148" s="229"/>
      <c r="F148" s="230"/>
      <c r="G148" s="51"/>
    </row>
    <row r="149" spans="1:7" s="52" customFormat="1" ht="27" x14ac:dyDescent="0.3">
      <c r="A149" s="53" t="s">
        <v>142</v>
      </c>
      <c r="B149" s="54">
        <v>2</v>
      </c>
      <c r="C149" s="153" t="str">
        <f t="shared" ref="C149:C155" si="12" xml:space="preserve"> IF(B149="","",setValueToTime(B149))</f>
        <v>0h10min</v>
      </c>
      <c r="D149" s="173" t="s">
        <v>261</v>
      </c>
      <c r="E149" s="221"/>
      <c r="F149" s="222"/>
      <c r="G149" s="51"/>
    </row>
    <row r="150" spans="1:7" s="52" customFormat="1" x14ac:dyDescent="0.3">
      <c r="A150" s="53" t="s">
        <v>142</v>
      </c>
      <c r="B150" s="54">
        <v>6</v>
      </c>
      <c r="C150" s="153" t="str">
        <f t="shared" si="12"/>
        <v>0h30min</v>
      </c>
      <c r="D150" s="55" t="s">
        <v>146</v>
      </c>
      <c r="E150" s="221"/>
      <c r="F150" s="222"/>
      <c r="G150" s="51"/>
    </row>
    <row r="151" spans="1:7" s="52" customFormat="1" x14ac:dyDescent="0.3">
      <c r="A151" s="53" t="s">
        <v>142</v>
      </c>
      <c r="B151" s="54">
        <v>12</v>
      </c>
      <c r="C151" s="153" t="str">
        <f t="shared" si="12"/>
        <v>1h</v>
      </c>
      <c r="D151" s="55" t="s">
        <v>262</v>
      </c>
      <c r="E151" s="221"/>
      <c r="F151" s="222"/>
      <c r="G151" s="51"/>
    </row>
    <row r="152" spans="1:7" s="52" customFormat="1" ht="40.5" x14ac:dyDescent="0.3">
      <c r="A152" s="54" t="s">
        <v>143</v>
      </c>
      <c r="B152" s="54">
        <v>4</v>
      </c>
      <c r="C152" s="154" t="str">
        <f t="shared" si="12"/>
        <v>0h20min</v>
      </c>
      <c r="D152" s="55" t="s">
        <v>264</v>
      </c>
      <c r="E152" s="221"/>
      <c r="F152" s="222"/>
      <c r="G152" s="51"/>
    </row>
    <row r="153" spans="1:7" s="52" customFormat="1" x14ac:dyDescent="0.3">
      <c r="A153" s="54"/>
      <c r="B153" s="54"/>
      <c r="C153" s="154" t="str">
        <f t="shared" si="12"/>
        <v/>
      </c>
      <c r="D153" s="55"/>
      <c r="E153" s="221"/>
      <c r="F153" s="222"/>
      <c r="G153" s="51"/>
    </row>
    <row r="154" spans="1:7" s="52" customFormat="1" x14ac:dyDescent="0.3">
      <c r="A154" s="54"/>
      <c r="B154" s="54"/>
      <c r="C154" s="154" t="str">
        <f t="shared" si="12"/>
        <v/>
      </c>
      <c r="D154" s="55"/>
      <c r="E154" s="221"/>
      <c r="F154" s="222"/>
      <c r="G154" s="51"/>
    </row>
    <row r="155" spans="1:7" s="52" customFormat="1" ht="15" thickBot="1" x14ac:dyDescent="0.35">
      <c r="A155" s="56"/>
      <c r="B155" s="56"/>
      <c r="C155" s="155" t="str">
        <f t="shared" si="12"/>
        <v/>
      </c>
      <c r="D155" s="57"/>
      <c r="E155" s="223"/>
      <c r="F155" s="224"/>
      <c r="G155" s="51"/>
    </row>
    <row r="156" spans="1:7" s="52" customFormat="1" ht="15" thickBot="1" x14ac:dyDescent="0.35">
      <c r="A156" s="162" t="s">
        <v>26</v>
      </c>
      <c r="B156" s="83">
        <f>SUM(B148:B155)</f>
        <v>25</v>
      </c>
      <c r="C156" s="162" t="str">
        <f xml:space="preserve"> setValueToTime(B156)</f>
        <v>2h5min</v>
      </c>
      <c r="D156" s="121"/>
      <c r="E156" s="233"/>
      <c r="F156" s="234"/>
      <c r="G156" s="51"/>
    </row>
    <row r="157" spans="1:7" s="59" customFormat="1" ht="15" thickBot="1" x14ac:dyDescent="0.35">
      <c r="A157" s="77"/>
      <c r="B157" s="77"/>
      <c r="C157" s="77"/>
      <c r="D157" s="77"/>
      <c r="E157" s="77"/>
      <c r="F157" s="77"/>
      <c r="G157" s="58"/>
    </row>
    <row r="158" spans="1:7" s="47" customFormat="1" ht="30" customHeight="1" thickBot="1" x14ac:dyDescent="0.3">
      <c r="A158" s="156" t="s">
        <v>9</v>
      </c>
      <c r="B158" s="164">
        <v>15</v>
      </c>
      <c r="C158" s="164"/>
      <c r="D158" s="157" t="s">
        <v>12</v>
      </c>
      <c r="E158" s="158" t="s">
        <v>69</v>
      </c>
      <c r="F158" s="159" t="s">
        <v>61</v>
      </c>
      <c r="G158" s="46"/>
    </row>
    <row r="159" spans="1:7" s="47" customFormat="1" ht="30" customHeight="1" thickBot="1" x14ac:dyDescent="0.3">
      <c r="A159" s="78" t="s">
        <v>2</v>
      </c>
      <c r="B159" s="161" t="s">
        <v>39</v>
      </c>
      <c r="C159" s="160"/>
      <c r="D159" s="78" t="s">
        <v>10</v>
      </c>
      <c r="E159" s="235" t="s">
        <v>11</v>
      </c>
      <c r="F159" s="236"/>
      <c r="G159" s="46"/>
    </row>
    <row r="160" spans="1:7" s="52" customFormat="1" x14ac:dyDescent="0.3">
      <c r="A160" s="48" t="s">
        <v>129</v>
      </c>
      <c r="B160" s="49">
        <v>6</v>
      </c>
      <c r="C160" s="152" t="str">
        <f xml:space="preserve"> IF(B160="","",setValueToTime(B160))</f>
        <v>0h30min</v>
      </c>
      <c r="D160" s="50" t="s">
        <v>256</v>
      </c>
      <c r="E160" s="229"/>
      <c r="F160" s="230"/>
      <c r="G160" s="51"/>
    </row>
    <row r="161" spans="1:7" s="52" customFormat="1" ht="27" x14ac:dyDescent="0.3">
      <c r="A161" s="53" t="s">
        <v>181</v>
      </c>
      <c r="B161" s="54">
        <v>4</v>
      </c>
      <c r="C161" s="153" t="str">
        <f t="shared" ref="C161:C167" si="13" xml:space="preserve"> IF(B161="","",setValueToTime(B161))</f>
        <v>0h20min</v>
      </c>
      <c r="D161" s="55" t="s">
        <v>259</v>
      </c>
      <c r="E161" s="221"/>
      <c r="F161" s="222"/>
      <c r="G161" s="51"/>
    </row>
    <row r="162" spans="1:7" s="52" customFormat="1" ht="40.5" x14ac:dyDescent="0.3">
      <c r="A162" s="53" t="s">
        <v>152</v>
      </c>
      <c r="B162" s="54">
        <v>24</v>
      </c>
      <c r="C162" s="153" t="str">
        <f t="shared" si="13"/>
        <v>2h</v>
      </c>
      <c r="D162" s="55" t="s">
        <v>257</v>
      </c>
      <c r="E162" s="221"/>
      <c r="F162" s="222"/>
      <c r="G162" s="51"/>
    </row>
    <row r="163" spans="1:7" s="52" customFormat="1" ht="27" x14ac:dyDescent="0.3">
      <c r="A163" s="53" t="s">
        <v>14</v>
      </c>
      <c r="B163" s="54">
        <v>2</v>
      </c>
      <c r="C163" s="153" t="str">
        <f t="shared" si="13"/>
        <v>0h10min</v>
      </c>
      <c r="D163" s="55"/>
      <c r="E163" s="221"/>
      <c r="F163" s="222"/>
      <c r="G163" s="51"/>
    </row>
    <row r="164" spans="1:7" s="52" customFormat="1" ht="27" x14ac:dyDescent="0.3">
      <c r="A164" s="54" t="s">
        <v>172</v>
      </c>
      <c r="B164" s="54">
        <v>2</v>
      </c>
      <c r="C164" s="154" t="str">
        <f t="shared" si="13"/>
        <v>0h10min</v>
      </c>
      <c r="D164" s="55"/>
      <c r="E164" s="221"/>
      <c r="F164" s="222"/>
      <c r="G164" s="51"/>
    </row>
    <row r="165" spans="1:7" s="52" customFormat="1" ht="137.25" customHeight="1" x14ac:dyDescent="0.3">
      <c r="A165" s="54"/>
      <c r="B165" s="54"/>
      <c r="C165" s="154" t="str">
        <f t="shared" si="13"/>
        <v/>
      </c>
      <c r="D165" s="55"/>
      <c r="E165" s="221" t="s">
        <v>258</v>
      </c>
      <c r="F165" s="222"/>
      <c r="G165" s="51"/>
    </row>
    <row r="166" spans="1:7" s="52" customFormat="1" x14ac:dyDescent="0.3">
      <c r="A166" s="54"/>
      <c r="B166" s="54"/>
      <c r="C166" s="154" t="str">
        <f t="shared" si="13"/>
        <v/>
      </c>
      <c r="D166" s="55"/>
      <c r="E166" s="221"/>
      <c r="F166" s="222"/>
      <c r="G166" s="51"/>
    </row>
    <row r="167" spans="1:7" s="52" customFormat="1" ht="15" thickBot="1" x14ac:dyDescent="0.35">
      <c r="A167" s="56"/>
      <c r="B167" s="56"/>
      <c r="C167" s="155" t="str">
        <f t="shared" si="13"/>
        <v/>
      </c>
      <c r="D167" s="57"/>
      <c r="E167" s="223"/>
      <c r="F167" s="224"/>
      <c r="G167" s="51"/>
    </row>
    <row r="168" spans="1:7" s="52" customFormat="1" ht="15" thickBot="1" x14ac:dyDescent="0.35">
      <c r="A168" s="162" t="s">
        <v>26</v>
      </c>
      <c r="B168" s="83">
        <f>SUM(B160:B167)</f>
        <v>38</v>
      </c>
      <c r="C168" s="162" t="str">
        <f xml:space="preserve"> setValueToTime(B168)</f>
        <v>3h10min</v>
      </c>
      <c r="D168" s="121"/>
      <c r="E168" s="233"/>
      <c r="F168" s="234"/>
      <c r="G168" s="51"/>
    </row>
    <row r="169" spans="1:7" s="59" customFormat="1" ht="15" thickBot="1" x14ac:dyDescent="0.35">
      <c r="A169" s="77"/>
      <c r="B169" s="77"/>
      <c r="C169" s="77"/>
      <c r="D169" s="77"/>
      <c r="E169" s="77"/>
      <c r="F169" s="77"/>
      <c r="G169" s="58"/>
    </row>
    <row r="170" spans="1:7" s="47" customFormat="1" ht="30" customHeight="1" thickBot="1" x14ac:dyDescent="0.3">
      <c r="A170" s="156" t="s">
        <v>9</v>
      </c>
      <c r="B170" s="164">
        <v>14</v>
      </c>
      <c r="C170" s="164"/>
      <c r="D170" s="157" t="s">
        <v>12</v>
      </c>
      <c r="E170" s="158" t="s">
        <v>69</v>
      </c>
      <c r="F170" s="159" t="s">
        <v>60</v>
      </c>
      <c r="G170" s="46"/>
    </row>
    <row r="171" spans="1:7" s="47" customFormat="1" ht="30" customHeight="1" thickBot="1" x14ac:dyDescent="0.3">
      <c r="A171" s="78" t="s">
        <v>2</v>
      </c>
      <c r="B171" s="161" t="s">
        <v>39</v>
      </c>
      <c r="C171" s="160"/>
      <c r="D171" s="78" t="s">
        <v>10</v>
      </c>
      <c r="E171" s="235" t="s">
        <v>11</v>
      </c>
      <c r="F171" s="236"/>
      <c r="G171" s="46"/>
    </row>
    <row r="172" spans="1:7" s="52" customFormat="1" ht="27" x14ac:dyDescent="0.3">
      <c r="A172" s="48" t="s">
        <v>117</v>
      </c>
      <c r="B172" s="49">
        <v>3</v>
      </c>
      <c r="C172" s="152" t="str">
        <f xml:space="preserve"> IF(B172="","",setValueToTime(B172))</f>
        <v>0h15min</v>
      </c>
      <c r="D172" s="50" t="s">
        <v>248</v>
      </c>
      <c r="E172" s="229"/>
      <c r="F172" s="230"/>
      <c r="G172" s="51"/>
    </row>
    <row r="173" spans="1:7" s="52" customFormat="1" ht="27" x14ac:dyDescent="0.3">
      <c r="A173" s="53" t="s">
        <v>156</v>
      </c>
      <c r="B173" s="54">
        <v>3</v>
      </c>
      <c r="C173" s="153" t="str">
        <f t="shared" ref="C173:C179" si="14" xml:space="preserve"> IF(B173="","",setValueToTime(B173))</f>
        <v>0h15min</v>
      </c>
      <c r="D173" s="55" t="s">
        <v>249</v>
      </c>
      <c r="E173" s="221"/>
      <c r="F173" s="222"/>
      <c r="G173" s="51"/>
    </row>
    <row r="174" spans="1:7" s="52" customFormat="1" ht="27" x14ac:dyDescent="0.3">
      <c r="A174" s="53" t="s">
        <v>124</v>
      </c>
      <c r="B174" s="54">
        <v>12</v>
      </c>
      <c r="C174" s="153" t="str">
        <f t="shared" si="14"/>
        <v>1h</v>
      </c>
      <c r="D174" s="55" t="s">
        <v>250</v>
      </c>
      <c r="E174" s="221"/>
      <c r="F174" s="222"/>
      <c r="G174" s="51"/>
    </row>
    <row r="175" spans="1:7" s="52" customFormat="1" ht="54" x14ac:dyDescent="0.3">
      <c r="A175" s="53" t="s">
        <v>116</v>
      </c>
      <c r="B175" s="54">
        <v>18</v>
      </c>
      <c r="C175" s="153" t="str">
        <f t="shared" si="14"/>
        <v>1h30min</v>
      </c>
      <c r="D175" s="55" t="s">
        <v>251</v>
      </c>
      <c r="E175" s="221"/>
      <c r="F175" s="222"/>
      <c r="G175" s="51"/>
    </row>
    <row r="176" spans="1:7" s="52" customFormat="1" ht="40.5" x14ac:dyDescent="0.3">
      <c r="A176" s="54" t="s">
        <v>152</v>
      </c>
      <c r="B176" s="54">
        <v>1</v>
      </c>
      <c r="C176" s="154" t="str">
        <f t="shared" si="14"/>
        <v>0h5min</v>
      </c>
      <c r="D176" s="55" t="s">
        <v>252</v>
      </c>
      <c r="E176" s="221"/>
      <c r="F176" s="222"/>
      <c r="G176" s="51"/>
    </row>
    <row r="177" spans="1:7" s="52" customFormat="1" ht="40.5" x14ac:dyDescent="0.3">
      <c r="A177" s="54" t="s">
        <v>152</v>
      </c>
      <c r="B177" s="54">
        <v>2</v>
      </c>
      <c r="C177" s="154" t="str">
        <f t="shared" si="14"/>
        <v>0h10min</v>
      </c>
      <c r="D177" s="55" t="s">
        <v>253</v>
      </c>
      <c r="E177" s="221"/>
      <c r="F177" s="222"/>
      <c r="G177" s="51"/>
    </row>
    <row r="178" spans="1:7" s="52" customFormat="1" x14ac:dyDescent="0.3">
      <c r="A178" s="54" t="s">
        <v>129</v>
      </c>
      <c r="B178" s="54">
        <v>7</v>
      </c>
      <c r="C178" s="154" t="str">
        <f t="shared" si="14"/>
        <v>0h35min</v>
      </c>
      <c r="D178" s="55" t="s">
        <v>254</v>
      </c>
      <c r="E178" s="221"/>
      <c r="F178" s="222"/>
      <c r="G178" s="51"/>
    </row>
    <row r="179" spans="1:7" s="52" customFormat="1" ht="141" customHeight="1" thickBot="1" x14ac:dyDescent="0.35">
      <c r="A179" s="56" t="s">
        <v>14</v>
      </c>
      <c r="B179" s="56">
        <v>2</v>
      </c>
      <c r="C179" s="155" t="str">
        <f t="shared" si="14"/>
        <v>0h10min</v>
      </c>
      <c r="D179" s="57"/>
      <c r="E179" s="223" t="s">
        <v>255</v>
      </c>
      <c r="F179" s="224"/>
      <c r="G179" s="51"/>
    </row>
    <row r="180" spans="1:7" s="52" customFormat="1" ht="15" thickBot="1" x14ac:dyDescent="0.35">
      <c r="A180" s="162" t="s">
        <v>26</v>
      </c>
      <c r="B180" s="83">
        <f>SUM(B172:B179)</f>
        <v>48</v>
      </c>
      <c r="C180" s="162" t="str">
        <f xml:space="preserve"> setValueToTime(B180)</f>
        <v>4h</v>
      </c>
      <c r="D180" s="121"/>
      <c r="E180" s="233"/>
      <c r="F180" s="234"/>
      <c r="G180" s="51"/>
    </row>
    <row r="181" spans="1:7" s="59" customFormat="1" ht="15" thickBot="1" x14ac:dyDescent="0.35">
      <c r="A181" s="77"/>
      <c r="B181" s="77"/>
      <c r="C181" s="77"/>
      <c r="D181" s="77"/>
      <c r="E181" s="77"/>
      <c r="F181" s="77"/>
      <c r="G181" s="58"/>
    </row>
    <row r="182" spans="1:7" s="47" customFormat="1" ht="30" customHeight="1" thickBot="1" x14ac:dyDescent="0.3">
      <c r="A182" s="156" t="s">
        <v>9</v>
      </c>
      <c r="B182" s="164">
        <v>13</v>
      </c>
      <c r="C182" s="164"/>
      <c r="D182" s="157" t="s">
        <v>12</v>
      </c>
      <c r="E182" s="158" t="s">
        <v>68</v>
      </c>
      <c r="F182" s="159" t="s">
        <v>61</v>
      </c>
      <c r="G182" s="46"/>
    </row>
    <row r="183" spans="1:7" s="47" customFormat="1" ht="30" customHeight="1" thickBot="1" x14ac:dyDescent="0.3">
      <c r="A183" s="78" t="s">
        <v>2</v>
      </c>
      <c r="B183" s="161" t="s">
        <v>39</v>
      </c>
      <c r="C183" s="160"/>
      <c r="D183" s="78" t="s">
        <v>10</v>
      </c>
      <c r="E183" s="235" t="s">
        <v>11</v>
      </c>
      <c r="F183" s="236"/>
      <c r="G183" s="46"/>
    </row>
    <row r="184" spans="1:7" s="52" customFormat="1" ht="27" x14ac:dyDescent="0.3">
      <c r="A184" s="48" t="s">
        <v>117</v>
      </c>
      <c r="B184" s="49">
        <v>5</v>
      </c>
      <c r="C184" s="152" t="str">
        <f xml:space="preserve"> IF(B184="","",setValueToTime(B184))</f>
        <v>0h25min</v>
      </c>
      <c r="D184" s="50" t="s">
        <v>240</v>
      </c>
      <c r="E184" s="229"/>
      <c r="F184" s="230"/>
      <c r="G184" s="51"/>
    </row>
    <row r="185" spans="1:7" s="52" customFormat="1" ht="27" x14ac:dyDescent="0.3">
      <c r="A185" s="53" t="s">
        <v>117</v>
      </c>
      <c r="B185" s="54">
        <v>4</v>
      </c>
      <c r="C185" s="153" t="str">
        <f t="shared" ref="C185:C191" si="15" xml:space="preserve"> IF(B185="","",setValueToTime(B185))</f>
        <v>0h20min</v>
      </c>
      <c r="D185" s="55" t="s">
        <v>241</v>
      </c>
      <c r="E185" s="221"/>
      <c r="F185" s="222"/>
      <c r="G185" s="51"/>
    </row>
    <row r="186" spans="1:7" s="52" customFormat="1" x14ac:dyDescent="0.3">
      <c r="A186" s="53" t="s">
        <v>181</v>
      </c>
      <c r="B186" s="54">
        <v>2</v>
      </c>
      <c r="C186" s="153" t="str">
        <f t="shared" si="15"/>
        <v>0h10min</v>
      </c>
      <c r="D186" s="55" t="s">
        <v>242</v>
      </c>
      <c r="E186" s="221"/>
      <c r="F186" s="222"/>
      <c r="G186" s="51"/>
    </row>
    <row r="187" spans="1:7" s="52" customFormat="1" ht="27" x14ac:dyDescent="0.3">
      <c r="A187" s="53" t="s">
        <v>117</v>
      </c>
      <c r="B187" s="54">
        <v>4</v>
      </c>
      <c r="C187" s="153" t="str">
        <f t="shared" si="15"/>
        <v>0h20min</v>
      </c>
      <c r="D187" s="55" t="s">
        <v>243</v>
      </c>
      <c r="E187" s="221"/>
      <c r="F187" s="222"/>
      <c r="G187" s="51"/>
    </row>
    <row r="188" spans="1:7" s="52" customFormat="1" ht="27" x14ac:dyDescent="0.3">
      <c r="A188" s="54" t="s">
        <v>117</v>
      </c>
      <c r="B188" s="54">
        <v>6</v>
      </c>
      <c r="C188" s="154" t="str">
        <f t="shared" si="15"/>
        <v>0h30min</v>
      </c>
      <c r="D188" s="55" t="s">
        <v>244</v>
      </c>
      <c r="E188" s="221"/>
      <c r="F188" s="222"/>
      <c r="G188" s="51"/>
    </row>
    <row r="189" spans="1:7" s="52" customFormat="1" ht="27" x14ac:dyDescent="0.3">
      <c r="A189" s="54" t="s">
        <v>156</v>
      </c>
      <c r="B189" s="54">
        <v>2</v>
      </c>
      <c r="C189" s="154" t="str">
        <f t="shared" si="15"/>
        <v>0h10min</v>
      </c>
      <c r="D189" s="55" t="s">
        <v>245</v>
      </c>
      <c r="E189" s="221"/>
      <c r="F189" s="222"/>
      <c r="G189" s="51"/>
    </row>
    <row r="190" spans="1:7" s="52" customFormat="1" ht="27" x14ac:dyDescent="0.3">
      <c r="A190" s="54" t="s">
        <v>95</v>
      </c>
      <c r="B190" s="54">
        <v>2</v>
      </c>
      <c r="C190" s="154" t="str">
        <f t="shared" si="15"/>
        <v>0h10min</v>
      </c>
      <c r="D190" s="55"/>
      <c r="E190" s="221"/>
      <c r="F190" s="222"/>
      <c r="G190" s="51"/>
    </row>
    <row r="191" spans="1:7" s="52" customFormat="1" ht="73.5" customHeight="1" thickBot="1" x14ac:dyDescent="0.35">
      <c r="A191" s="56" t="s">
        <v>124</v>
      </c>
      <c r="B191" s="56">
        <v>3</v>
      </c>
      <c r="C191" s="155" t="str">
        <f t="shared" si="15"/>
        <v>0h15min</v>
      </c>
      <c r="D191" s="57" t="s">
        <v>246</v>
      </c>
      <c r="E191" s="223" t="s">
        <v>247</v>
      </c>
      <c r="F191" s="224"/>
      <c r="G191" s="51"/>
    </row>
    <row r="192" spans="1:7" s="52" customFormat="1" ht="15" thickBot="1" x14ac:dyDescent="0.35">
      <c r="A192" s="162" t="s">
        <v>26</v>
      </c>
      <c r="B192" s="83">
        <f>SUM(B184:B191)</f>
        <v>28</v>
      </c>
      <c r="C192" s="162" t="str">
        <f xml:space="preserve"> setValueToTime(B192)</f>
        <v>2h20min</v>
      </c>
      <c r="D192" s="121"/>
      <c r="E192" s="233"/>
      <c r="F192" s="234"/>
      <c r="G192" s="51"/>
    </row>
    <row r="193" spans="1:7" s="59" customFormat="1" ht="15" thickBot="1" x14ac:dyDescent="0.35">
      <c r="A193" s="77"/>
      <c r="B193" s="77"/>
      <c r="C193" s="77"/>
      <c r="D193" s="77"/>
      <c r="E193" s="77"/>
      <c r="F193" s="77"/>
      <c r="G193" s="58"/>
    </row>
    <row r="194" spans="1:7" s="47" customFormat="1" ht="30" customHeight="1" thickBot="1" x14ac:dyDescent="0.3">
      <c r="A194" s="156" t="s">
        <v>9</v>
      </c>
      <c r="B194" s="164">
        <v>12</v>
      </c>
      <c r="C194" s="164"/>
      <c r="D194" s="157" t="s">
        <v>12</v>
      </c>
      <c r="E194" s="158" t="s">
        <v>67</v>
      </c>
      <c r="F194" s="159" t="s">
        <v>61</v>
      </c>
      <c r="G194" s="46"/>
    </row>
    <row r="195" spans="1:7" s="47" customFormat="1" ht="30" customHeight="1" thickBot="1" x14ac:dyDescent="0.3">
      <c r="A195" s="78" t="s">
        <v>2</v>
      </c>
      <c r="B195" s="161" t="s">
        <v>39</v>
      </c>
      <c r="C195" s="160"/>
      <c r="D195" s="78" t="s">
        <v>10</v>
      </c>
      <c r="E195" s="235" t="s">
        <v>11</v>
      </c>
      <c r="F195" s="236"/>
      <c r="G195" s="46"/>
    </row>
    <row r="196" spans="1:7" s="52" customFormat="1" x14ac:dyDescent="0.3">
      <c r="A196" s="48" t="s">
        <v>13</v>
      </c>
      <c r="B196" s="49">
        <v>14</v>
      </c>
      <c r="C196" s="152" t="str">
        <f xml:space="preserve"> IF(B196="","",setValueToTime(B196))</f>
        <v>1h10min</v>
      </c>
      <c r="D196" s="50" t="s">
        <v>232</v>
      </c>
      <c r="E196" s="229"/>
      <c r="F196" s="230"/>
      <c r="G196" s="51"/>
    </row>
    <row r="197" spans="1:7" s="52" customFormat="1" ht="27" x14ac:dyDescent="0.3">
      <c r="A197" s="53" t="s">
        <v>14</v>
      </c>
      <c r="B197" s="54">
        <v>2</v>
      </c>
      <c r="C197" s="153" t="str">
        <f t="shared" ref="C197:C203" si="16" xml:space="preserve"> IF(B197="","",setValueToTime(B197))</f>
        <v>0h10min</v>
      </c>
      <c r="D197" s="55" t="s">
        <v>95</v>
      </c>
      <c r="E197" s="221"/>
      <c r="F197" s="222"/>
      <c r="G197" s="51"/>
    </row>
    <row r="198" spans="1:7" s="52" customFormat="1" ht="27" x14ac:dyDescent="0.3">
      <c r="A198" s="53" t="s">
        <v>117</v>
      </c>
      <c r="B198" s="54">
        <v>4</v>
      </c>
      <c r="C198" s="153" t="str">
        <f t="shared" si="16"/>
        <v>0h20min</v>
      </c>
      <c r="D198" s="55" t="s">
        <v>233</v>
      </c>
      <c r="E198" s="221"/>
      <c r="F198" s="222"/>
      <c r="G198" s="51"/>
    </row>
    <row r="199" spans="1:7" s="52" customFormat="1" ht="27" x14ac:dyDescent="0.3">
      <c r="A199" s="53" t="s">
        <v>117</v>
      </c>
      <c r="B199" s="54">
        <v>5</v>
      </c>
      <c r="C199" s="153" t="str">
        <f t="shared" si="16"/>
        <v>0h25min</v>
      </c>
      <c r="D199" s="55" t="s">
        <v>234</v>
      </c>
      <c r="E199" s="221"/>
      <c r="F199" s="222"/>
      <c r="G199" s="51"/>
    </row>
    <row r="200" spans="1:7" s="52" customFormat="1" ht="27" x14ac:dyDescent="0.3">
      <c r="A200" s="54" t="s">
        <v>117</v>
      </c>
      <c r="B200" s="54">
        <v>3</v>
      </c>
      <c r="C200" s="154" t="str">
        <f t="shared" si="16"/>
        <v>0h15min</v>
      </c>
      <c r="D200" s="55" t="s">
        <v>235</v>
      </c>
      <c r="E200" s="221"/>
      <c r="F200" s="222"/>
      <c r="G200" s="51"/>
    </row>
    <row r="201" spans="1:7" s="52" customFormat="1" ht="27" x14ac:dyDescent="0.3">
      <c r="A201" s="54" t="s">
        <v>117</v>
      </c>
      <c r="B201" s="54">
        <v>6</v>
      </c>
      <c r="C201" s="154" t="str">
        <f t="shared" si="16"/>
        <v>0h30min</v>
      </c>
      <c r="D201" s="55" t="s">
        <v>236</v>
      </c>
      <c r="E201" s="221"/>
      <c r="F201" s="222"/>
      <c r="G201" s="51"/>
    </row>
    <row r="202" spans="1:7" s="52" customFormat="1" ht="27" x14ac:dyDescent="0.3">
      <c r="A202" s="54" t="s">
        <v>117</v>
      </c>
      <c r="B202" s="54">
        <v>2</v>
      </c>
      <c r="C202" s="154" t="str">
        <f t="shared" si="16"/>
        <v>0h10min</v>
      </c>
      <c r="D202" s="55" t="s">
        <v>238</v>
      </c>
      <c r="E202" s="221"/>
      <c r="F202" s="222"/>
      <c r="G202" s="51"/>
    </row>
    <row r="203" spans="1:7" s="52" customFormat="1" ht="108.75" customHeight="1" thickBot="1" x14ac:dyDescent="0.35">
      <c r="A203" s="56" t="s">
        <v>172</v>
      </c>
      <c r="B203" s="56">
        <v>2</v>
      </c>
      <c r="C203" s="155" t="str">
        <f t="shared" si="16"/>
        <v>0h10min</v>
      </c>
      <c r="D203" s="57" t="s">
        <v>237</v>
      </c>
      <c r="E203" s="223" t="s">
        <v>239</v>
      </c>
      <c r="F203" s="224"/>
      <c r="G203" s="51"/>
    </row>
    <row r="204" spans="1:7" s="52" customFormat="1" ht="15" thickBot="1" x14ac:dyDescent="0.35">
      <c r="A204" s="162" t="s">
        <v>26</v>
      </c>
      <c r="B204" s="83">
        <f>SUM(B196:B203)</f>
        <v>38</v>
      </c>
      <c r="C204" s="162" t="str">
        <f xml:space="preserve"> setValueToTime(B204)</f>
        <v>3h10min</v>
      </c>
      <c r="D204" s="121"/>
      <c r="E204" s="233"/>
      <c r="F204" s="234"/>
      <c r="G204" s="51"/>
    </row>
    <row r="205" spans="1:7" s="59" customFormat="1" ht="15" thickBot="1" x14ac:dyDescent="0.35">
      <c r="A205" s="77"/>
      <c r="B205" s="77"/>
      <c r="C205" s="77"/>
      <c r="D205" s="77"/>
      <c r="E205" s="77"/>
      <c r="F205" s="77"/>
      <c r="G205" s="58"/>
    </row>
    <row r="206" spans="1:7" s="47" customFormat="1" ht="30" customHeight="1" thickBot="1" x14ac:dyDescent="0.3">
      <c r="A206" s="156" t="s">
        <v>9</v>
      </c>
      <c r="B206" s="164">
        <v>11</v>
      </c>
      <c r="C206" s="164"/>
      <c r="D206" s="157" t="s">
        <v>12</v>
      </c>
      <c r="E206" s="158" t="s">
        <v>67</v>
      </c>
      <c r="F206" s="159" t="s">
        <v>60</v>
      </c>
      <c r="G206" s="46"/>
    </row>
    <row r="207" spans="1:7" s="47" customFormat="1" ht="30" customHeight="1" thickBot="1" x14ac:dyDescent="0.3">
      <c r="A207" s="78" t="s">
        <v>2</v>
      </c>
      <c r="B207" s="161" t="s">
        <v>39</v>
      </c>
      <c r="C207" s="160"/>
      <c r="D207" s="78" t="s">
        <v>10</v>
      </c>
      <c r="E207" s="235" t="s">
        <v>11</v>
      </c>
      <c r="F207" s="236"/>
      <c r="G207" s="46"/>
    </row>
    <row r="208" spans="1:7" s="52" customFormat="1" x14ac:dyDescent="0.3">
      <c r="A208" s="48" t="s">
        <v>152</v>
      </c>
      <c r="B208" s="49">
        <v>4</v>
      </c>
      <c r="C208" s="152" t="str">
        <f xml:space="preserve"> IF(B208="","",setValueToTime(B208))</f>
        <v>0h20min</v>
      </c>
      <c r="D208" s="50" t="s">
        <v>225</v>
      </c>
      <c r="E208" s="229"/>
      <c r="F208" s="230"/>
      <c r="G208" s="51"/>
    </row>
    <row r="209" spans="1:7" s="52" customFormat="1" ht="40.5" x14ac:dyDescent="0.3">
      <c r="A209" s="53" t="s">
        <v>13</v>
      </c>
      <c r="B209" s="54">
        <v>26</v>
      </c>
      <c r="C209" s="153" t="str">
        <f t="shared" ref="C209:C215" si="17" xml:space="preserve"> IF(B209="","",setValueToTime(B209))</f>
        <v>2h10min</v>
      </c>
      <c r="D209" s="55" t="s">
        <v>229</v>
      </c>
      <c r="E209" s="221"/>
      <c r="F209" s="222"/>
      <c r="G209" s="51"/>
    </row>
    <row r="210" spans="1:7" s="52" customFormat="1" ht="27" x14ac:dyDescent="0.3">
      <c r="A210" s="53" t="s">
        <v>113</v>
      </c>
      <c r="B210" s="54">
        <v>6</v>
      </c>
      <c r="C210" s="153" t="str">
        <f t="shared" si="17"/>
        <v>0h30min</v>
      </c>
      <c r="D210" s="55" t="s">
        <v>226</v>
      </c>
      <c r="E210" s="232" t="s">
        <v>230</v>
      </c>
      <c r="F210" s="222"/>
      <c r="G210" s="51"/>
    </row>
    <row r="211" spans="1:7" s="52" customFormat="1" ht="27" x14ac:dyDescent="0.3">
      <c r="A211" s="53" t="s">
        <v>94</v>
      </c>
      <c r="B211" s="54">
        <v>2</v>
      </c>
      <c r="C211" s="153" t="str">
        <f t="shared" si="17"/>
        <v>0h10min</v>
      </c>
      <c r="D211" s="55" t="s">
        <v>228</v>
      </c>
      <c r="E211" s="232" t="s">
        <v>227</v>
      </c>
      <c r="F211" s="222"/>
      <c r="G211" s="51"/>
    </row>
    <row r="212" spans="1:7" s="52" customFormat="1" x14ac:dyDescent="0.3">
      <c r="A212" s="54"/>
      <c r="B212" s="54"/>
      <c r="C212" s="154" t="str">
        <f t="shared" si="17"/>
        <v/>
      </c>
      <c r="D212" s="55"/>
      <c r="E212" s="221"/>
      <c r="F212" s="222"/>
      <c r="G212" s="51"/>
    </row>
    <row r="213" spans="1:7" s="52" customFormat="1" x14ac:dyDescent="0.3">
      <c r="A213" s="54"/>
      <c r="B213" s="54"/>
      <c r="C213" s="154" t="str">
        <f t="shared" si="17"/>
        <v/>
      </c>
      <c r="D213" s="55"/>
      <c r="E213" s="221"/>
      <c r="F213" s="222"/>
      <c r="G213" s="51"/>
    </row>
    <row r="214" spans="1:7" s="52" customFormat="1" x14ac:dyDescent="0.3">
      <c r="A214" s="54"/>
      <c r="B214" s="54"/>
      <c r="C214" s="154" t="str">
        <f t="shared" si="17"/>
        <v/>
      </c>
      <c r="D214" s="55"/>
      <c r="E214" s="221"/>
      <c r="F214" s="222"/>
      <c r="G214" s="51"/>
    </row>
    <row r="215" spans="1:7" s="52" customFormat="1" ht="162" customHeight="1" thickBot="1" x14ac:dyDescent="0.35">
      <c r="A215" s="56"/>
      <c r="B215" s="56"/>
      <c r="C215" s="155" t="str">
        <f t="shared" si="17"/>
        <v/>
      </c>
      <c r="D215" s="57"/>
      <c r="E215" s="223" t="s">
        <v>231</v>
      </c>
      <c r="F215" s="224"/>
      <c r="G215" s="51"/>
    </row>
    <row r="216" spans="1:7" s="52" customFormat="1" ht="15" thickBot="1" x14ac:dyDescent="0.35">
      <c r="A216" s="162" t="s">
        <v>26</v>
      </c>
      <c r="B216" s="83">
        <f>SUM(B208:B215)</f>
        <v>38</v>
      </c>
      <c r="C216" s="162" t="str">
        <f xml:space="preserve"> setValueToTime(B216)</f>
        <v>3h10min</v>
      </c>
      <c r="D216" s="121"/>
      <c r="E216" s="233"/>
      <c r="F216" s="234"/>
      <c r="G216" s="51"/>
    </row>
    <row r="217" spans="1:7" s="59" customFormat="1" ht="15" thickBot="1" x14ac:dyDescent="0.35">
      <c r="A217" s="77"/>
      <c r="B217" s="77"/>
      <c r="C217" s="77"/>
      <c r="D217" s="77"/>
      <c r="E217" s="77"/>
      <c r="F217" s="77"/>
      <c r="G217" s="58"/>
    </row>
    <row r="218" spans="1:7" s="47" customFormat="1" ht="30" customHeight="1" thickBot="1" x14ac:dyDescent="0.3">
      <c r="A218" s="156" t="s">
        <v>9</v>
      </c>
      <c r="B218" s="164">
        <v>10</v>
      </c>
      <c r="C218" s="164"/>
      <c r="D218" s="157" t="s">
        <v>12</v>
      </c>
      <c r="E218" s="158" t="s">
        <v>66</v>
      </c>
      <c r="F218" s="159" t="s">
        <v>61</v>
      </c>
      <c r="G218" s="46"/>
    </row>
    <row r="219" spans="1:7" s="47" customFormat="1" ht="30" customHeight="1" thickBot="1" x14ac:dyDescent="0.3">
      <c r="A219" s="78" t="s">
        <v>2</v>
      </c>
      <c r="B219" s="161" t="s">
        <v>39</v>
      </c>
      <c r="C219" s="160"/>
      <c r="D219" s="78" t="s">
        <v>10</v>
      </c>
      <c r="E219" s="235" t="s">
        <v>11</v>
      </c>
      <c r="F219" s="236"/>
      <c r="G219" s="46"/>
    </row>
    <row r="220" spans="1:7" s="52" customFormat="1" ht="67.5" x14ac:dyDescent="0.3">
      <c r="A220" s="48" t="s">
        <v>152</v>
      </c>
      <c r="B220" s="49">
        <v>6</v>
      </c>
      <c r="C220" s="152" t="str">
        <f xml:space="preserve"> IF(B220="","",setValueToTime(B220))</f>
        <v>0h30min</v>
      </c>
      <c r="D220" s="50" t="s">
        <v>221</v>
      </c>
      <c r="E220" s="229"/>
      <c r="F220" s="230"/>
      <c r="G220" s="51"/>
    </row>
    <row r="221" spans="1:7" s="52" customFormat="1" ht="27" x14ac:dyDescent="0.3">
      <c r="A221" s="53" t="s">
        <v>113</v>
      </c>
      <c r="B221" s="54">
        <v>2</v>
      </c>
      <c r="C221" s="153" t="str">
        <f t="shared" ref="C221:C227" si="18" xml:space="preserve"> IF(B221="","",setValueToTime(B221))</f>
        <v>0h10min</v>
      </c>
      <c r="D221" s="55" t="s">
        <v>220</v>
      </c>
      <c r="E221" s="221"/>
      <c r="F221" s="222"/>
      <c r="G221" s="51"/>
    </row>
    <row r="222" spans="1:7" s="52" customFormat="1" ht="27" x14ac:dyDescent="0.3">
      <c r="A222" s="53" t="s">
        <v>135</v>
      </c>
      <c r="B222" s="54">
        <v>6</v>
      </c>
      <c r="C222" s="153" t="str">
        <f t="shared" si="18"/>
        <v>0h30min</v>
      </c>
      <c r="D222" s="55" t="s">
        <v>222</v>
      </c>
      <c r="E222" s="221"/>
      <c r="F222" s="222"/>
      <c r="G222" s="51"/>
    </row>
    <row r="223" spans="1:7" s="52" customFormat="1" ht="40.5" x14ac:dyDescent="0.3">
      <c r="A223" s="53" t="s">
        <v>117</v>
      </c>
      <c r="B223" s="54">
        <v>10</v>
      </c>
      <c r="C223" s="153" t="str">
        <f t="shared" si="18"/>
        <v>0h50min</v>
      </c>
      <c r="D223" s="55" t="s">
        <v>223</v>
      </c>
      <c r="E223" s="221"/>
      <c r="F223" s="222"/>
      <c r="G223" s="51"/>
    </row>
    <row r="224" spans="1:7" s="52" customFormat="1" ht="108" x14ac:dyDescent="0.3">
      <c r="A224" s="54" t="s">
        <v>156</v>
      </c>
      <c r="B224" s="54">
        <v>6</v>
      </c>
      <c r="C224" s="154" t="str">
        <f t="shared" si="18"/>
        <v>0h30min</v>
      </c>
      <c r="D224" s="55" t="s">
        <v>219</v>
      </c>
      <c r="E224" s="221"/>
      <c r="F224" s="222"/>
      <c r="G224" s="51"/>
    </row>
    <row r="225" spans="1:7" s="52" customFormat="1" ht="27" x14ac:dyDescent="0.3">
      <c r="A225" s="54" t="s">
        <v>14</v>
      </c>
      <c r="B225" s="54">
        <v>2</v>
      </c>
      <c r="C225" s="154" t="str">
        <f t="shared" si="18"/>
        <v>0h10min</v>
      </c>
      <c r="D225" s="55" t="s">
        <v>95</v>
      </c>
      <c r="E225" s="221"/>
      <c r="F225" s="222"/>
      <c r="G225" s="51"/>
    </row>
    <row r="226" spans="1:7" s="52" customFormat="1" x14ac:dyDescent="0.3">
      <c r="A226" s="54" t="s">
        <v>13</v>
      </c>
      <c r="B226" s="54">
        <v>6</v>
      </c>
      <c r="C226" s="154" t="str">
        <f t="shared" si="18"/>
        <v>0h30min</v>
      </c>
      <c r="D226" s="55" t="s">
        <v>96</v>
      </c>
      <c r="E226" s="221"/>
      <c r="F226" s="222"/>
      <c r="G226" s="51"/>
    </row>
    <row r="227" spans="1:7" s="52" customFormat="1" ht="111" customHeight="1" thickBot="1" x14ac:dyDescent="0.35">
      <c r="A227" s="56"/>
      <c r="B227" s="56"/>
      <c r="C227" s="155" t="str">
        <f t="shared" si="18"/>
        <v/>
      </c>
      <c r="D227" s="57"/>
      <c r="E227" s="223" t="s">
        <v>224</v>
      </c>
      <c r="F227" s="224"/>
      <c r="G227" s="51"/>
    </row>
    <row r="228" spans="1:7" s="52" customFormat="1" ht="15" thickBot="1" x14ac:dyDescent="0.35">
      <c r="A228" s="162" t="s">
        <v>26</v>
      </c>
      <c r="B228" s="83">
        <f>SUM(B220:B227)</f>
        <v>38</v>
      </c>
      <c r="C228" s="162" t="str">
        <f xml:space="preserve"> setValueToTime(B228)</f>
        <v>3h10min</v>
      </c>
      <c r="D228" s="121"/>
      <c r="E228" s="233"/>
      <c r="F228" s="234"/>
      <c r="G228" s="51"/>
    </row>
    <row r="229" spans="1:7" s="59" customFormat="1" ht="15" thickBot="1" x14ac:dyDescent="0.35">
      <c r="A229" s="77"/>
      <c r="B229" s="77"/>
      <c r="C229" s="77"/>
      <c r="D229" s="77"/>
      <c r="E229" s="77"/>
      <c r="F229" s="77"/>
      <c r="G229" s="58"/>
    </row>
    <row r="230" spans="1:7" s="47" customFormat="1" ht="30" customHeight="1" thickBot="1" x14ac:dyDescent="0.3">
      <c r="A230" s="156" t="s">
        <v>9</v>
      </c>
      <c r="B230" s="164">
        <v>9</v>
      </c>
      <c r="C230" s="164"/>
      <c r="D230" s="157" t="s">
        <v>12</v>
      </c>
      <c r="E230" s="158" t="s">
        <v>66</v>
      </c>
      <c r="F230" s="159" t="s">
        <v>60</v>
      </c>
      <c r="G230" s="46"/>
    </row>
    <row r="231" spans="1:7" s="47" customFormat="1" ht="30" customHeight="1" thickBot="1" x14ac:dyDescent="0.3">
      <c r="A231" s="78" t="s">
        <v>2</v>
      </c>
      <c r="B231" s="161" t="s">
        <v>39</v>
      </c>
      <c r="C231" s="160"/>
      <c r="D231" s="78" t="s">
        <v>10</v>
      </c>
      <c r="E231" s="235" t="s">
        <v>11</v>
      </c>
      <c r="F231" s="236"/>
      <c r="G231" s="46"/>
    </row>
    <row r="232" spans="1:7" s="52" customFormat="1" x14ac:dyDescent="0.3">
      <c r="A232" s="48" t="s">
        <v>112</v>
      </c>
      <c r="B232" s="49">
        <v>6</v>
      </c>
      <c r="C232" s="152" t="str">
        <f xml:space="preserve"> IF(B232="","",setValueToTime(B232))</f>
        <v>0h30min</v>
      </c>
      <c r="D232" s="50" t="s">
        <v>212</v>
      </c>
      <c r="E232" s="229"/>
      <c r="F232" s="230"/>
      <c r="G232" s="51"/>
    </row>
    <row r="233" spans="1:7" s="52" customFormat="1" ht="43.5" customHeight="1" x14ac:dyDescent="0.3">
      <c r="A233" s="53" t="s">
        <v>172</v>
      </c>
      <c r="B233" s="54">
        <v>9</v>
      </c>
      <c r="C233" s="153" t="str">
        <f t="shared" ref="C233:C239" si="19" xml:space="preserve"> IF(B233="","",setValueToTime(B233))</f>
        <v>0h45min</v>
      </c>
      <c r="D233" s="55" t="s">
        <v>213</v>
      </c>
      <c r="E233" s="221" t="s">
        <v>214</v>
      </c>
      <c r="F233" s="222"/>
      <c r="G233" s="51"/>
    </row>
    <row r="234" spans="1:7" s="52" customFormat="1" x14ac:dyDescent="0.3">
      <c r="A234" s="53" t="s">
        <v>112</v>
      </c>
      <c r="B234" s="54">
        <v>6</v>
      </c>
      <c r="C234" s="153" t="str">
        <f t="shared" si="19"/>
        <v>0h30min</v>
      </c>
      <c r="D234" s="55" t="s">
        <v>216</v>
      </c>
      <c r="E234" s="221"/>
      <c r="F234" s="222"/>
      <c r="G234" s="51"/>
    </row>
    <row r="235" spans="1:7" s="52" customFormat="1" x14ac:dyDescent="0.3">
      <c r="A235" s="53" t="s">
        <v>112</v>
      </c>
      <c r="B235" s="54"/>
      <c r="C235" s="153" t="str">
        <f t="shared" si="19"/>
        <v/>
      </c>
      <c r="D235" s="55"/>
      <c r="E235" s="221"/>
      <c r="F235" s="222"/>
      <c r="G235" s="51"/>
    </row>
    <row r="236" spans="1:7" s="52" customFormat="1" ht="27" x14ac:dyDescent="0.3">
      <c r="A236" s="54" t="s">
        <v>14</v>
      </c>
      <c r="B236" s="54">
        <v>2</v>
      </c>
      <c r="C236" s="154" t="str">
        <f t="shared" si="19"/>
        <v>0h10min</v>
      </c>
      <c r="D236" s="55" t="s">
        <v>95</v>
      </c>
      <c r="E236" s="221"/>
      <c r="F236" s="222"/>
      <c r="G236" s="51"/>
    </row>
    <row r="237" spans="1:7" s="52" customFormat="1" x14ac:dyDescent="0.3">
      <c r="A237" s="54" t="s">
        <v>181</v>
      </c>
      <c r="B237" s="54">
        <v>8</v>
      </c>
      <c r="C237" s="154" t="str">
        <f t="shared" si="19"/>
        <v>0h40min</v>
      </c>
      <c r="D237" s="55" t="s">
        <v>217</v>
      </c>
      <c r="E237" s="221"/>
      <c r="F237" s="222"/>
      <c r="G237" s="51"/>
    </row>
    <row r="238" spans="1:7" s="52" customFormat="1" x14ac:dyDescent="0.3">
      <c r="A238" s="54" t="s">
        <v>13</v>
      </c>
      <c r="B238" s="54">
        <v>7</v>
      </c>
      <c r="C238" s="154" t="str">
        <f t="shared" si="19"/>
        <v>0h35min</v>
      </c>
      <c r="D238" s="55" t="s">
        <v>96</v>
      </c>
      <c r="E238" s="221"/>
      <c r="F238" s="222"/>
      <c r="G238" s="51"/>
    </row>
    <row r="239" spans="1:7" s="52" customFormat="1" ht="59.25" customHeight="1" thickBot="1" x14ac:dyDescent="0.35">
      <c r="A239" s="56"/>
      <c r="B239" s="56"/>
      <c r="C239" s="155" t="str">
        <f t="shared" si="19"/>
        <v/>
      </c>
      <c r="D239" s="57"/>
      <c r="E239" s="223" t="s">
        <v>218</v>
      </c>
      <c r="F239" s="224"/>
      <c r="G239" s="51"/>
    </row>
    <row r="240" spans="1:7" s="52" customFormat="1" ht="15" thickBot="1" x14ac:dyDescent="0.35">
      <c r="A240" s="162" t="s">
        <v>26</v>
      </c>
      <c r="B240" s="83">
        <f>SUM(B232:B239)</f>
        <v>38</v>
      </c>
      <c r="C240" s="162" t="str">
        <f xml:space="preserve"> setValueToTime(B240)</f>
        <v>3h10min</v>
      </c>
      <c r="D240" s="121"/>
      <c r="E240" s="233"/>
      <c r="F240" s="234"/>
      <c r="G240" s="51"/>
    </row>
    <row r="241" spans="1:7" s="59" customFormat="1" ht="15" thickBot="1" x14ac:dyDescent="0.35">
      <c r="A241" s="77"/>
      <c r="B241" s="77"/>
      <c r="C241" s="77"/>
      <c r="D241" s="77"/>
      <c r="E241" s="77"/>
      <c r="F241" s="77"/>
      <c r="G241" s="58"/>
    </row>
    <row r="242" spans="1:7" s="47" customFormat="1" ht="30" customHeight="1" thickBot="1" x14ac:dyDescent="0.3">
      <c r="A242" s="156" t="s">
        <v>9</v>
      </c>
      <c r="B242" s="164">
        <v>8</v>
      </c>
      <c r="C242" s="164"/>
      <c r="D242" s="157" t="s">
        <v>12</v>
      </c>
      <c r="E242" s="158" t="s">
        <v>65</v>
      </c>
      <c r="F242" s="159" t="s">
        <v>61</v>
      </c>
      <c r="G242" s="46"/>
    </row>
    <row r="243" spans="1:7" s="47" customFormat="1" ht="30" customHeight="1" thickBot="1" x14ac:dyDescent="0.3">
      <c r="A243" s="78" t="s">
        <v>2</v>
      </c>
      <c r="B243" s="161" t="s">
        <v>39</v>
      </c>
      <c r="C243" s="160"/>
      <c r="D243" s="78" t="s">
        <v>10</v>
      </c>
      <c r="E243" s="235" t="s">
        <v>11</v>
      </c>
      <c r="F243" s="236"/>
      <c r="G243" s="46"/>
    </row>
    <row r="244" spans="1:7" s="52" customFormat="1" ht="27" x14ac:dyDescent="0.3">
      <c r="A244" s="48" t="s">
        <v>152</v>
      </c>
      <c r="B244" s="49">
        <v>2</v>
      </c>
      <c r="C244" s="152" t="str">
        <f xml:space="preserve"> IF(B244="","",setValueToTime(B244))</f>
        <v>0h10min</v>
      </c>
      <c r="D244" s="50" t="s">
        <v>206</v>
      </c>
      <c r="E244" s="229"/>
      <c r="F244" s="230"/>
      <c r="G244" s="51"/>
    </row>
    <row r="245" spans="1:7" s="52" customFormat="1" ht="27" x14ac:dyDescent="0.3">
      <c r="A245" s="53" t="s">
        <v>152</v>
      </c>
      <c r="B245" s="54">
        <v>1</v>
      </c>
      <c r="C245" s="153" t="str">
        <f xml:space="preserve"> IF(B245="","",setValueToTime(B245))</f>
        <v>0h5min</v>
      </c>
      <c r="D245" s="55" t="s">
        <v>207</v>
      </c>
      <c r="E245" s="221"/>
      <c r="F245" s="222"/>
      <c r="G245" s="51"/>
    </row>
    <row r="246" spans="1:7" s="52" customFormat="1" ht="27" x14ac:dyDescent="0.3">
      <c r="A246" s="53" t="s">
        <v>14</v>
      </c>
      <c r="B246" s="54">
        <v>2</v>
      </c>
      <c r="C246" s="153" t="str">
        <f t="shared" ref="C246:C251" si="20" xml:space="preserve"> IF(B246="","",setValueToTime(B246))</f>
        <v>0h10min</v>
      </c>
      <c r="D246" s="55" t="s">
        <v>197</v>
      </c>
      <c r="E246" s="221"/>
      <c r="F246" s="222"/>
      <c r="G246" s="51"/>
    </row>
    <row r="247" spans="1:7" s="52" customFormat="1" x14ac:dyDescent="0.3">
      <c r="A247" s="53" t="s">
        <v>13</v>
      </c>
      <c r="B247" s="54">
        <v>5</v>
      </c>
      <c r="C247" s="153" t="str">
        <f t="shared" si="20"/>
        <v>0h25min</v>
      </c>
      <c r="D247" s="55" t="s">
        <v>208</v>
      </c>
      <c r="E247" s="221"/>
      <c r="F247" s="222"/>
      <c r="G247" s="51"/>
    </row>
    <row r="248" spans="1:7" s="52" customFormat="1" x14ac:dyDescent="0.3">
      <c r="A248" s="54" t="s">
        <v>112</v>
      </c>
      <c r="B248" s="54">
        <v>6</v>
      </c>
      <c r="C248" s="154" t="str">
        <f t="shared" si="20"/>
        <v>0h30min</v>
      </c>
      <c r="D248" s="55" t="s">
        <v>209</v>
      </c>
      <c r="E248" s="221"/>
      <c r="F248" s="222"/>
      <c r="G248" s="51"/>
    </row>
    <row r="249" spans="1:7" s="52" customFormat="1" x14ac:dyDescent="0.3">
      <c r="A249" s="54" t="s">
        <v>112</v>
      </c>
      <c r="B249" s="54">
        <v>6</v>
      </c>
      <c r="C249" s="154" t="str">
        <f t="shared" si="20"/>
        <v>0h30min</v>
      </c>
      <c r="D249" s="55" t="s">
        <v>210</v>
      </c>
      <c r="E249" s="221"/>
      <c r="F249" s="222"/>
      <c r="G249" s="51"/>
    </row>
    <row r="250" spans="1:7" s="52" customFormat="1" x14ac:dyDescent="0.3">
      <c r="A250" s="54" t="s">
        <v>112</v>
      </c>
      <c r="B250" s="54">
        <v>6</v>
      </c>
      <c r="C250" s="154" t="str">
        <f t="shared" si="20"/>
        <v>0h30min</v>
      </c>
      <c r="D250" s="55" t="s">
        <v>211</v>
      </c>
      <c r="E250" s="221"/>
      <c r="F250" s="222"/>
      <c r="G250" s="51"/>
    </row>
    <row r="251" spans="1:7" s="52" customFormat="1" ht="123" customHeight="1" thickBot="1" x14ac:dyDescent="0.35">
      <c r="A251" s="56"/>
      <c r="B251" s="56"/>
      <c r="C251" s="155" t="str">
        <f t="shared" si="20"/>
        <v/>
      </c>
      <c r="D251" s="57"/>
      <c r="E251" s="223" t="s">
        <v>215</v>
      </c>
      <c r="F251" s="224"/>
      <c r="G251" s="51"/>
    </row>
    <row r="252" spans="1:7" s="52" customFormat="1" ht="15" thickBot="1" x14ac:dyDescent="0.35">
      <c r="A252" s="162" t="s">
        <v>26</v>
      </c>
      <c r="B252" s="83">
        <f>SUM(B244:B251)</f>
        <v>28</v>
      </c>
      <c r="C252" s="162" t="str">
        <f xml:space="preserve"> setValueToTime(B252)</f>
        <v>2h20min</v>
      </c>
      <c r="D252" s="121"/>
      <c r="E252" s="233"/>
      <c r="F252" s="234"/>
      <c r="G252" s="51"/>
    </row>
    <row r="253" spans="1:7" s="59" customFormat="1" ht="15" thickBot="1" x14ac:dyDescent="0.35">
      <c r="A253" s="77"/>
      <c r="B253" s="77"/>
      <c r="C253" s="77"/>
      <c r="D253" s="77"/>
      <c r="E253" s="77"/>
      <c r="F253" s="77"/>
      <c r="G253" s="58"/>
    </row>
    <row r="254" spans="1:7" s="47" customFormat="1" ht="30" customHeight="1" thickBot="1" x14ac:dyDescent="0.3">
      <c r="A254" s="156" t="s">
        <v>9</v>
      </c>
      <c r="B254" s="164">
        <v>7</v>
      </c>
      <c r="C254" s="164"/>
      <c r="D254" s="157" t="s">
        <v>12</v>
      </c>
      <c r="E254" s="158" t="s">
        <v>64</v>
      </c>
      <c r="F254" s="159" t="s">
        <v>61</v>
      </c>
      <c r="G254" s="46"/>
    </row>
    <row r="255" spans="1:7" s="47" customFormat="1" ht="30" customHeight="1" thickBot="1" x14ac:dyDescent="0.3">
      <c r="A255" s="78" t="s">
        <v>2</v>
      </c>
      <c r="B255" s="161" t="s">
        <v>39</v>
      </c>
      <c r="C255" s="160"/>
      <c r="D255" s="78" t="s">
        <v>10</v>
      </c>
      <c r="E255" s="235" t="s">
        <v>11</v>
      </c>
      <c r="F255" s="236"/>
      <c r="G255" s="46"/>
    </row>
    <row r="256" spans="1:7" s="52" customFormat="1" ht="27" x14ac:dyDescent="0.3">
      <c r="A256" s="48" t="s">
        <v>13</v>
      </c>
      <c r="B256" s="49">
        <v>23</v>
      </c>
      <c r="C256" s="152" t="str">
        <f xml:space="preserve"> IF(B256="","",setValueToTime(B256))</f>
        <v>1h55min</v>
      </c>
      <c r="D256" s="50" t="s">
        <v>200</v>
      </c>
      <c r="E256" s="231"/>
      <c r="F256" s="237"/>
      <c r="G256" s="51"/>
    </row>
    <row r="257" spans="1:7" s="52" customFormat="1" ht="27" x14ac:dyDescent="0.3">
      <c r="A257" s="53" t="s">
        <v>14</v>
      </c>
      <c r="B257" s="54">
        <v>3</v>
      </c>
      <c r="C257" s="153" t="str">
        <f t="shared" ref="C257:C263" si="21" xml:space="preserve"> IF(B257="","",setValueToTime(B257))</f>
        <v>0h15min</v>
      </c>
      <c r="D257" s="55" t="s">
        <v>197</v>
      </c>
      <c r="E257" s="221"/>
      <c r="F257" s="222"/>
      <c r="G257" s="51"/>
    </row>
    <row r="258" spans="1:7" s="52" customFormat="1" x14ac:dyDescent="0.3">
      <c r="A258" s="53" t="s">
        <v>112</v>
      </c>
      <c r="B258" s="54">
        <v>6</v>
      </c>
      <c r="C258" s="153" t="str">
        <f t="shared" si="21"/>
        <v>0h30min</v>
      </c>
      <c r="D258" s="55" t="s">
        <v>204</v>
      </c>
      <c r="E258" s="221"/>
      <c r="F258" s="222"/>
      <c r="G258" s="51"/>
    </row>
    <row r="259" spans="1:7" s="52" customFormat="1" x14ac:dyDescent="0.3">
      <c r="A259" s="53" t="s">
        <v>112</v>
      </c>
      <c r="B259" s="54">
        <v>4</v>
      </c>
      <c r="C259" s="153" t="str">
        <f t="shared" si="21"/>
        <v>0h20min</v>
      </c>
      <c r="D259" s="55" t="s">
        <v>203</v>
      </c>
      <c r="E259" s="221"/>
      <c r="F259" s="222"/>
      <c r="G259" s="51"/>
    </row>
    <row r="260" spans="1:7" s="52" customFormat="1" ht="27" x14ac:dyDescent="0.3">
      <c r="A260" s="54" t="s">
        <v>172</v>
      </c>
      <c r="B260" s="54">
        <v>2</v>
      </c>
      <c r="C260" s="154" t="str">
        <f t="shared" si="21"/>
        <v>0h10min</v>
      </c>
      <c r="D260" s="55" t="s">
        <v>205</v>
      </c>
      <c r="E260" s="221"/>
      <c r="F260" s="222"/>
      <c r="G260" s="51"/>
    </row>
    <row r="261" spans="1:7" s="52" customFormat="1" x14ac:dyDescent="0.3">
      <c r="A261" s="54"/>
      <c r="B261" s="54"/>
      <c r="C261" s="154" t="str">
        <f t="shared" si="21"/>
        <v/>
      </c>
      <c r="D261" s="55"/>
      <c r="E261" s="221"/>
      <c r="F261" s="222"/>
      <c r="G261" s="51"/>
    </row>
    <row r="262" spans="1:7" s="52" customFormat="1" x14ac:dyDescent="0.3">
      <c r="A262" s="54"/>
      <c r="B262" s="54"/>
      <c r="C262" s="154" t="str">
        <f t="shared" si="21"/>
        <v/>
      </c>
      <c r="D262" s="55"/>
      <c r="E262" s="221"/>
      <c r="F262" s="222"/>
      <c r="G262" s="51"/>
    </row>
    <row r="263" spans="1:7" s="52" customFormat="1" ht="156.75" customHeight="1" thickBot="1" x14ac:dyDescent="0.35">
      <c r="A263" s="56"/>
      <c r="B263" s="56"/>
      <c r="C263" s="155" t="str">
        <f t="shared" si="21"/>
        <v/>
      </c>
      <c r="D263" s="57"/>
      <c r="E263" s="223" t="s">
        <v>202</v>
      </c>
      <c r="F263" s="224"/>
      <c r="G263" s="51"/>
    </row>
    <row r="264" spans="1:7" s="52" customFormat="1" ht="15" thickBot="1" x14ac:dyDescent="0.35">
      <c r="A264" s="162" t="s">
        <v>26</v>
      </c>
      <c r="B264" s="83">
        <f>SUM(B256:B263)</f>
        <v>38</v>
      </c>
      <c r="C264" s="162" t="str">
        <f xml:space="preserve"> setValueToTime(B264)</f>
        <v>3h10min</v>
      </c>
      <c r="D264" s="121"/>
      <c r="E264" s="233"/>
      <c r="F264" s="234"/>
      <c r="G264" s="51"/>
    </row>
    <row r="265" spans="1:7" s="59" customFormat="1" ht="15" thickBot="1" x14ac:dyDescent="0.35">
      <c r="A265" s="77"/>
      <c r="B265" s="77"/>
      <c r="C265" s="77"/>
      <c r="D265" s="77"/>
      <c r="E265" s="77"/>
      <c r="F265" s="77"/>
      <c r="G265" s="58"/>
    </row>
    <row r="266" spans="1:7" s="47" customFormat="1" ht="30" customHeight="1" thickBot="1" x14ac:dyDescent="0.3">
      <c r="A266" s="156" t="s">
        <v>9</v>
      </c>
      <c r="B266" s="164">
        <v>6</v>
      </c>
      <c r="C266" s="164"/>
      <c r="D266" s="157" t="s">
        <v>12</v>
      </c>
      <c r="E266" s="158" t="s">
        <v>64</v>
      </c>
      <c r="F266" s="159" t="s">
        <v>60</v>
      </c>
      <c r="G266" s="46"/>
    </row>
    <row r="267" spans="1:7" s="47" customFormat="1" ht="30" customHeight="1" thickBot="1" x14ac:dyDescent="0.3">
      <c r="A267" s="78" t="s">
        <v>2</v>
      </c>
      <c r="B267" s="161" t="s">
        <v>39</v>
      </c>
      <c r="C267" s="160"/>
      <c r="D267" s="78" t="s">
        <v>10</v>
      </c>
      <c r="E267" s="235" t="s">
        <v>11</v>
      </c>
      <c r="F267" s="236"/>
      <c r="G267" s="46"/>
    </row>
    <row r="268" spans="1:7" s="52" customFormat="1" ht="40.5" x14ac:dyDescent="0.3">
      <c r="A268" s="48" t="s">
        <v>94</v>
      </c>
      <c r="B268" s="49">
        <v>12</v>
      </c>
      <c r="C268" s="152" t="str">
        <f xml:space="preserve"> IF(B268="","",setValueToTime(B268))</f>
        <v>1h</v>
      </c>
      <c r="D268" s="50" t="s">
        <v>201</v>
      </c>
      <c r="E268" s="229" t="s">
        <v>195</v>
      </c>
      <c r="F268" s="230"/>
      <c r="G268" s="51"/>
    </row>
    <row r="269" spans="1:7" s="52" customFormat="1" x14ac:dyDescent="0.3">
      <c r="A269" s="53" t="s">
        <v>112</v>
      </c>
      <c r="B269" s="54">
        <v>18</v>
      </c>
      <c r="C269" s="153" t="str">
        <f t="shared" ref="C269:C275" si="22" xml:space="preserve"> IF(B269="","",setValueToTime(B269))</f>
        <v>1h30min</v>
      </c>
      <c r="D269" s="55" t="s">
        <v>198</v>
      </c>
      <c r="E269" s="221"/>
      <c r="F269" s="222"/>
      <c r="G269" s="51"/>
    </row>
    <row r="270" spans="1:7" s="52" customFormat="1" x14ac:dyDescent="0.3">
      <c r="A270" s="53" t="s">
        <v>13</v>
      </c>
      <c r="B270" s="54">
        <v>6</v>
      </c>
      <c r="C270" s="153" t="str">
        <f t="shared" si="22"/>
        <v>0h30min</v>
      </c>
      <c r="D270" s="55" t="s">
        <v>199</v>
      </c>
      <c r="E270" s="232"/>
      <c r="F270" s="238"/>
      <c r="G270" s="51"/>
    </row>
    <row r="271" spans="1:7" s="52" customFormat="1" ht="27" x14ac:dyDescent="0.3">
      <c r="A271" s="53" t="s">
        <v>14</v>
      </c>
      <c r="B271" s="54">
        <v>2</v>
      </c>
      <c r="C271" s="153" t="str">
        <f t="shared" si="22"/>
        <v>0h10min</v>
      </c>
      <c r="D271" s="55"/>
      <c r="E271" s="221"/>
      <c r="F271" s="222"/>
      <c r="G271" s="51"/>
    </row>
    <row r="272" spans="1:7" s="52" customFormat="1" x14ac:dyDescent="0.3">
      <c r="A272" s="54"/>
      <c r="B272" s="54"/>
      <c r="C272" s="154" t="str">
        <f t="shared" si="22"/>
        <v/>
      </c>
      <c r="D272" s="55"/>
      <c r="E272" s="221"/>
      <c r="F272" s="222"/>
      <c r="G272" s="51"/>
    </row>
    <row r="273" spans="1:7" s="52" customFormat="1" x14ac:dyDescent="0.3">
      <c r="A273" s="54"/>
      <c r="B273" s="54"/>
      <c r="C273" s="154" t="str">
        <f t="shared" si="22"/>
        <v/>
      </c>
      <c r="D273" s="55"/>
      <c r="E273" s="221"/>
      <c r="F273" s="222"/>
      <c r="G273" s="51"/>
    </row>
    <row r="274" spans="1:7" s="52" customFormat="1" x14ac:dyDescent="0.3">
      <c r="A274" s="54"/>
      <c r="B274" s="54"/>
      <c r="C274" s="154" t="str">
        <f t="shared" si="22"/>
        <v/>
      </c>
      <c r="D274" s="55"/>
      <c r="E274" s="221"/>
      <c r="F274" s="222"/>
      <c r="G274" s="51"/>
    </row>
    <row r="275" spans="1:7" s="52" customFormat="1" ht="59.25" customHeight="1" thickBot="1" x14ac:dyDescent="0.35">
      <c r="A275" s="56"/>
      <c r="B275" s="56"/>
      <c r="C275" s="155" t="str">
        <f t="shared" si="22"/>
        <v/>
      </c>
      <c r="D275" s="57"/>
      <c r="E275" s="223" t="s">
        <v>196</v>
      </c>
      <c r="F275" s="224"/>
      <c r="G275" s="51"/>
    </row>
    <row r="276" spans="1:7" s="52" customFormat="1" ht="15" thickBot="1" x14ac:dyDescent="0.35">
      <c r="A276" s="162" t="s">
        <v>26</v>
      </c>
      <c r="B276" s="83">
        <f>SUM(B268:B275)</f>
        <v>38</v>
      </c>
      <c r="C276" s="162" t="str">
        <f xml:space="preserve"> setValueToTime(B276)</f>
        <v>3h10min</v>
      </c>
      <c r="D276" s="121"/>
      <c r="E276" s="233"/>
      <c r="F276" s="234"/>
      <c r="G276" s="51"/>
    </row>
    <row r="277" spans="1:7" s="59" customFormat="1" ht="15" thickBot="1" x14ac:dyDescent="0.35">
      <c r="A277" s="77"/>
      <c r="B277" s="77"/>
      <c r="C277" s="77"/>
      <c r="D277" s="77"/>
      <c r="E277" s="77"/>
      <c r="F277" s="77"/>
      <c r="G277" s="58"/>
    </row>
    <row r="278" spans="1:7" s="47" customFormat="1" ht="30" customHeight="1" thickBot="1" x14ac:dyDescent="0.3">
      <c r="A278" s="156" t="s">
        <v>9</v>
      </c>
      <c r="B278" s="164">
        <v>5</v>
      </c>
      <c r="C278" s="164"/>
      <c r="D278" s="157" t="s">
        <v>12</v>
      </c>
      <c r="E278" s="158" t="s">
        <v>63</v>
      </c>
      <c r="F278" s="159" t="s">
        <v>61</v>
      </c>
      <c r="G278" s="46"/>
    </row>
    <row r="279" spans="1:7" s="47" customFormat="1" ht="30" customHeight="1" thickBot="1" x14ac:dyDescent="0.3">
      <c r="A279" s="78" t="s">
        <v>2</v>
      </c>
      <c r="B279" s="161" t="s">
        <v>39</v>
      </c>
      <c r="C279" s="160"/>
      <c r="D279" s="78" t="s">
        <v>10</v>
      </c>
      <c r="E279" s="235" t="s">
        <v>11</v>
      </c>
      <c r="F279" s="236"/>
      <c r="G279" s="46"/>
    </row>
    <row r="280" spans="1:7" s="52" customFormat="1" ht="27" x14ac:dyDescent="0.3">
      <c r="A280" s="48" t="s">
        <v>94</v>
      </c>
      <c r="B280" s="49">
        <v>5</v>
      </c>
      <c r="C280" s="152" t="str">
        <f xml:space="preserve"> IF(B280="","",setValueToTime(B280))</f>
        <v>0h25min</v>
      </c>
      <c r="D280" s="50" t="s">
        <v>191</v>
      </c>
      <c r="E280" s="229"/>
      <c r="F280" s="230"/>
      <c r="G280" s="51"/>
    </row>
    <row r="281" spans="1:7" s="52" customFormat="1" ht="27" x14ac:dyDescent="0.3">
      <c r="A281" s="53" t="s">
        <v>97</v>
      </c>
      <c r="B281" s="54">
        <v>16</v>
      </c>
      <c r="C281" s="153" t="str">
        <f xml:space="preserve"> IF(B281="","",setValueToTime(B281))</f>
        <v>1h20min</v>
      </c>
      <c r="D281" s="55" t="s">
        <v>193</v>
      </c>
      <c r="E281" s="221"/>
      <c r="F281" s="222"/>
      <c r="G281" s="51"/>
    </row>
    <row r="282" spans="1:7" s="52" customFormat="1" ht="27" x14ac:dyDescent="0.3">
      <c r="A282" s="53" t="s">
        <v>13</v>
      </c>
      <c r="B282" s="54">
        <v>14</v>
      </c>
      <c r="C282" s="153" t="str">
        <f t="shared" ref="C282:C287" si="23" xml:space="preserve"> IF(B282="","",setValueToTime(B282))</f>
        <v>1h10min</v>
      </c>
      <c r="D282" s="55" t="s">
        <v>194</v>
      </c>
      <c r="E282" s="232"/>
      <c r="F282" s="238"/>
      <c r="G282" s="51"/>
    </row>
    <row r="283" spans="1:7" s="52" customFormat="1" ht="27" x14ac:dyDescent="0.3">
      <c r="A283" s="53" t="s">
        <v>14</v>
      </c>
      <c r="B283" s="54">
        <v>2</v>
      </c>
      <c r="C283" s="153" t="str">
        <f t="shared" si="23"/>
        <v>0h10min</v>
      </c>
      <c r="D283" s="55" t="s">
        <v>95</v>
      </c>
      <c r="E283" s="221"/>
      <c r="F283" s="222"/>
      <c r="G283" s="51"/>
    </row>
    <row r="284" spans="1:7" s="52" customFormat="1" x14ac:dyDescent="0.3">
      <c r="A284" s="54"/>
      <c r="B284" s="54"/>
      <c r="C284" s="154" t="str">
        <f t="shared" si="23"/>
        <v/>
      </c>
      <c r="D284" s="55"/>
      <c r="E284" s="221"/>
      <c r="F284" s="222"/>
      <c r="G284" s="51"/>
    </row>
    <row r="285" spans="1:7" s="52" customFormat="1" x14ac:dyDescent="0.3">
      <c r="A285" s="54"/>
      <c r="B285" s="54"/>
      <c r="C285" s="154" t="str">
        <f t="shared" si="23"/>
        <v/>
      </c>
      <c r="D285" s="55"/>
      <c r="E285" s="221"/>
      <c r="F285" s="222"/>
      <c r="G285" s="51"/>
    </row>
    <row r="286" spans="1:7" s="52" customFormat="1" x14ac:dyDescent="0.3">
      <c r="A286" s="54"/>
      <c r="B286" s="54"/>
      <c r="C286" s="154" t="str">
        <f t="shared" si="23"/>
        <v/>
      </c>
      <c r="D286" s="55"/>
      <c r="E286" s="221"/>
      <c r="F286" s="222"/>
      <c r="G286" s="51"/>
    </row>
    <row r="287" spans="1:7" s="52" customFormat="1" ht="96.75" customHeight="1" thickBot="1" x14ac:dyDescent="0.35">
      <c r="A287" s="56"/>
      <c r="B287" s="56"/>
      <c r="C287" s="155" t="str">
        <f t="shared" si="23"/>
        <v/>
      </c>
      <c r="D287" s="57"/>
      <c r="E287" s="223" t="s">
        <v>192</v>
      </c>
      <c r="F287" s="224"/>
      <c r="G287" s="51"/>
    </row>
    <row r="288" spans="1:7" s="52" customFormat="1" ht="15" thickBot="1" x14ac:dyDescent="0.35">
      <c r="A288" s="162" t="s">
        <v>26</v>
      </c>
      <c r="B288" s="83">
        <f>SUM(B280:B287)</f>
        <v>37</v>
      </c>
      <c r="C288" s="162" t="str">
        <f xml:space="preserve"> setValueToTime(B288)</f>
        <v>3h5min</v>
      </c>
      <c r="D288" s="121"/>
      <c r="E288" s="233"/>
      <c r="F288" s="234"/>
      <c r="G288" s="51"/>
    </row>
    <row r="289" spans="1:7" s="59" customFormat="1" ht="15" thickBot="1" x14ac:dyDescent="0.35">
      <c r="A289" s="77"/>
      <c r="B289" s="77"/>
      <c r="C289" s="77"/>
      <c r="D289" s="77"/>
      <c r="E289" s="77"/>
      <c r="F289" s="77"/>
      <c r="G289" s="58"/>
    </row>
    <row r="290" spans="1:7" s="47" customFormat="1" ht="30" customHeight="1" thickBot="1" x14ac:dyDescent="0.3">
      <c r="A290" s="156" t="s">
        <v>9</v>
      </c>
      <c r="B290" s="164">
        <v>4</v>
      </c>
      <c r="C290" s="164"/>
      <c r="D290" s="157" t="s">
        <v>12</v>
      </c>
      <c r="E290" s="158" t="s">
        <v>63</v>
      </c>
      <c r="F290" s="159" t="s">
        <v>60</v>
      </c>
      <c r="G290" s="46"/>
    </row>
    <row r="291" spans="1:7" s="47" customFormat="1" ht="30" customHeight="1" thickBot="1" x14ac:dyDescent="0.3">
      <c r="A291" s="78" t="s">
        <v>2</v>
      </c>
      <c r="B291" s="161" t="s">
        <v>39</v>
      </c>
      <c r="C291" s="160"/>
      <c r="D291" s="78" t="s">
        <v>10</v>
      </c>
      <c r="E291" s="235" t="s">
        <v>11</v>
      </c>
      <c r="F291" s="236"/>
      <c r="G291" s="46"/>
    </row>
    <row r="292" spans="1:7" s="52" customFormat="1" ht="55.5" customHeight="1" x14ac:dyDescent="0.3">
      <c r="A292" s="48" t="s">
        <v>181</v>
      </c>
      <c r="B292" s="49">
        <v>1</v>
      </c>
      <c r="C292" s="152" t="str">
        <f xml:space="preserve"> IF(B292="","",setValueToTime(B292))</f>
        <v>0h5min</v>
      </c>
      <c r="D292" s="50" t="s">
        <v>184</v>
      </c>
      <c r="E292" s="229" t="s">
        <v>185</v>
      </c>
      <c r="F292" s="230"/>
      <c r="G292" s="51"/>
    </row>
    <row r="293" spans="1:7" s="52" customFormat="1" x14ac:dyDescent="0.3">
      <c r="A293" s="53" t="s">
        <v>13</v>
      </c>
      <c r="B293" s="54">
        <v>25</v>
      </c>
      <c r="C293" s="153" t="str">
        <f t="shared" ref="C293:C299" si="24" xml:space="preserve"> IF(B293="","",setValueToTime(B293))</f>
        <v>2h5min</v>
      </c>
      <c r="D293" s="55" t="s">
        <v>187</v>
      </c>
      <c r="E293" s="232"/>
      <c r="F293" s="238"/>
      <c r="G293" s="51"/>
    </row>
    <row r="294" spans="1:7" s="52" customFormat="1" ht="27" x14ac:dyDescent="0.3">
      <c r="A294" s="53" t="s">
        <v>94</v>
      </c>
      <c r="B294" s="54">
        <v>8</v>
      </c>
      <c r="C294" s="153" t="str">
        <f t="shared" si="24"/>
        <v>0h40min</v>
      </c>
      <c r="D294" s="55" t="s">
        <v>188</v>
      </c>
      <c r="E294" s="221"/>
      <c r="F294" s="222"/>
      <c r="G294" s="51"/>
    </row>
    <row r="295" spans="1:7" s="52" customFormat="1" ht="27" x14ac:dyDescent="0.3">
      <c r="A295" s="53" t="s">
        <v>14</v>
      </c>
      <c r="B295" s="54">
        <v>2</v>
      </c>
      <c r="C295" s="153" t="str">
        <f t="shared" si="24"/>
        <v>0h10min</v>
      </c>
      <c r="D295" s="55" t="s">
        <v>190</v>
      </c>
      <c r="E295" s="221"/>
      <c r="F295" s="222"/>
      <c r="G295" s="51"/>
    </row>
    <row r="296" spans="1:7" s="52" customFormat="1" x14ac:dyDescent="0.3">
      <c r="A296" s="54"/>
      <c r="B296" s="54"/>
      <c r="C296" s="154" t="str">
        <f t="shared" si="24"/>
        <v/>
      </c>
      <c r="D296" s="55"/>
      <c r="E296" s="221"/>
      <c r="F296" s="222"/>
      <c r="G296" s="51"/>
    </row>
    <row r="297" spans="1:7" s="52" customFormat="1" x14ac:dyDescent="0.3">
      <c r="A297" s="54"/>
      <c r="B297" s="54"/>
      <c r="C297" s="154" t="str">
        <f t="shared" si="24"/>
        <v/>
      </c>
      <c r="D297" s="55"/>
      <c r="E297" s="221"/>
      <c r="F297" s="222"/>
      <c r="G297" s="51"/>
    </row>
    <row r="298" spans="1:7" s="52" customFormat="1" x14ac:dyDescent="0.3">
      <c r="A298" s="54"/>
      <c r="B298" s="54"/>
      <c r="C298" s="154" t="str">
        <f t="shared" si="24"/>
        <v/>
      </c>
      <c r="D298" s="55"/>
      <c r="E298" s="221"/>
      <c r="F298" s="222"/>
      <c r="G298" s="51"/>
    </row>
    <row r="299" spans="1:7" s="52" customFormat="1" ht="102" customHeight="1" thickBot="1" x14ac:dyDescent="0.35">
      <c r="A299" s="56"/>
      <c r="B299" s="56"/>
      <c r="C299" s="155" t="str">
        <f t="shared" si="24"/>
        <v/>
      </c>
      <c r="D299" s="57"/>
      <c r="E299" s="223" t="s">
        <v>189</v>
      </c>
      <c r="F299" s="224"/>
      <c r="G299" s="51"/>
    </row>
    <row r="300" spans="1:7" s="52" customFormat="1" ht="15" thickBot="1" x14ac:dyDescent="0.35">
      <c r="A300" s="162" t="s">
        <v>26</v>
      </c>
      <c r="B300" s="83">
        <f>SUM(B292:B299)</f>
        <v>36</v>
      </c>
      <c r="C300" s="162" t="str">
        <f xml:space="preserve"> setValueToTime(B300)</f>
        <v>3h</v>
      </c>
      <c r="D300" s="121"/>
      <c r="E300" s="233"/>
      <c r="F300" s="234"/>
      <c r="G300" s="51"/>
    </row>
    <row r="301" spans="1:7" s="59" customFormat="1" ht="15" thickBot="1" x14ac:dyDescent="0.35">
      <c r="A301" s="77"/>
      <c r="B301" s="77"/>
      <c r="C301" s="77"/>
      <c r="D301" s="77"/>
      <c r="E301" s="77"/>
      <c r="F301" s="77"/>
      <c r="G301" s="58"/>
    </row>
    <row r="302" spans="1:7" s="47" customFormat="1" ht="30" customHeight="1" thickBot="1" x14ac:dyDescent="0.3">
      <c r="A302" s="156" t="s">
        <v>9</v>
      </c>
      <c r="B302" s="164">
        <v>3</v>
      </c>
      <c r="C302" s="164"/>
      <c r="D302" s="157" t="s">
        <v>12</v>
      </c>
      <c r="E302" s="158" t="s">
        <v>62</v>
      </c>
      <c r="F302" s="159" t="s">
        <v>61</v>
      </c>
      <c r="G302" s="46"/>
    </row>
    <row r="303" spans="1:7" s="47" customFormat="1" ht="30" customHeight="1" thickBot="1" x14ac:dyDescent="0.3">
      <c r="A303" s="78" t="s">
        <v>2</v>
      </c>
      <c r="B303" s="161" t="s">
        <v>39</v>
      </c>
      <c r="C303" s="160"/>
      <c r="D303" s="78" t="s">
        <v>10</v>
      </c>
      <c r="E303" s="235" t="s">
        <v>11</v>
      </c>
      <c r="F303" s="236"/>
      <c r="G303" s="46"/>
    </row>
    <row r="304" spans="1:7" s="52" customFormat="1" ht="40.5" x14ac:dyDescent="0.3">
      <c r="A304" s="48" t="s">
        <v>93</v>
      </c>
      <c r="B304" s="49">
        <v>26</v>
      </c>
      <c r="C304" s="152" t="str">
        <f xml:space="preserve"> IF(B304="","",setValueToTime(B304))</f>
        <v>2h10min</v>
      </c>
      <c r="D304" s="50" t="s">
        <v>179</v>
      </c>
      <c r="E304" s="231" t="s">
        <v>180</v>
      </c>
      <c r="F304" s="230"/>
      <c r="G304" s="51"/>
    </row>
    <row r="305" spans="1:7" s="52" customFormat="1" ht="27" x14ac:dyDescent="0.3">
      <c r="A305" s="53" t="s">
        <v>181</v>
      </c>
      <c r="B305" s="54">
        <v>1</v>
      </c>
      <c r="C305" s="153" t="str">
        <f t="shared" ref="C305:C311" si="25" xml:space="preserve"> IF(B305="","",setValueToTime(B305))</f>
        <v>0h5min</v>
      </c>
      <c r="D305" s="55" t="s">
        <v>182</v>
      </c>
      <c r="E305" s="221"/>
      <c r="F305" s="222"/>
      <c r="G305" s="51"/>
    </row>
    <row r="306" spans="1:7" s="52" customFormat="1" x14ac:dyDescent="0.3">
      <c r="A306" s="53" t="s">
        <v>13</v>
      </c>
      <c r="B306" s="54">
        <v>9</v>
      </c>
      <c r="C306" s="153" t="str">
        <f t="shared" si="25"/>
        <v>0h45min</v>
      </c>
      <c r="D306" s="55" t="s">
        <v>186</v>
      </c>
      <c r="E306" s="232"/>
      <c r="F306" s="238"/>
      <c r="G306" s="51"/>
    </row>
    <row r="307" spans="1:7" s="52" customFormat="1" ht="27" x14ac:dyDescent="0.3">
      <c r="A307" s="53" t="s">
        <v>14</v>
      </c>
      <c r="B307" s="54">
        <v>2</v>
      </c>
      <c r="C307" s="153" t="str">
        <f t="shared" si="25"/>
        <v>0h10min</v>
      </c>
      <c r="D307" s="55" t="s">
        <v>95</v>
      </c>
      <c r="E307" s="221"/>
      <c r="F307" s="222"/>
      <c r="G307" s="51"/>
    </row>
    <row r="308" spans="1:7" s="52" customFormat="1" ht="96" customHeight="1" x14ac:dyDescent="0.3">
      <c r="A308" s="54"/>
      <c r="B308" s="54"/>
      <c r="C308" s="154" t="str">
        <f t="shared" si="25"/>
        <v/>
      </c>
      <c r="D308" s="55"/>
      <c r="E308" s="221" t="s">
        <v>183</v>
      </c>
      <c r="F308" s="222"/>
      <c r="G308" s="51"/>
    </row>
    <row r="309" spans="1:7" s="52" customFormat="1" x14ac:dyDescent="0.3">
      <c r="A309" s="54"/>
      <c r="B309" s="54"/>
      <c r="C309" s="154" t="str">
        <f t="shared" si="25"/>
        <v/>
      </c>
      <c r="D309" s="55"/>
      <c r="E309" s="221"/>
      <c r="F309" s="222"/>
      <c r="G309" s="51"/>
    </row>
    <row r="310" spans="1:7" s="52" customFormat="1" x14ac:dyDescent="0.3">
      <c r="A310" s="54"/>
      <c r="B310" s="54"/>
      <c r="C310" s="154" t="str">
        <f t="shared" si="25"/>
        <v/>
      </c>
      <c r="D310" s="55"/>
      <c r="E310" s="221"/>
      <c r="F310" s="222"/>
      <c r="G310" s="51"/>
    </row>
    <row r="311" spans="1:7" s="52" customFormat="1" ht="15" thickBot="1" x14ac:dyDescent="0.35">
      <c r="A311" s="56"/>
      <c r="B311" s="56"/>
      <c r="C311" s="155" t="str">
        <f t="shared" si="25"/>
        <v/>
      </c>
      <c r="D311" s="57"/>
      <c r="E311" s="223"/>
      <c r="F311" s="224"/>
      <c r="G311" s="51"/>
    </row>
    <row r="312" spans="1:7" s="52" customFormat="1" ht="15" thickBot="1" x14ac:dyDescent="0.35">
      <c r="A312" s="162" t="s">
        <v>26</v>
      </c>
      <c r="B312" s="83">
        <f>SUM(B304:B311)</f>
        <v>38</v>
      </c>
      <c r="C312" s="162" t="str">
        <f xml:space="preserve"> setValueToTime(B312)</f>
        <v>3h10min</v>
      </c>
      <c r="D312" s="121"/>
      <c r="E312" s="233"/>
      <c r="F312" s="234"/>
      <c r="G312" s="51"/>
    </row>
    <row r="313" spans="1:7" s="59" customFormat="1" ht="15" thickBot="1" x14ac:dyDescent="0.35">
      <c r="A313" s="77"/>
      <c r="B313" s="77"/>
      <c r="C313" s="77"/>
      <c r="D313" s="77"/>
      <c r="E313" s="77"/>
      <c r="F313" s="77"/>
      <c r="G313" s="58"/>
    </row>
    <row r="314" spans="1:7" s="47" customFormat="1" ht="30" customHeight="1" thickBot="1" x14ac:dyDescent="0.3">
      <c r="A314" s="156" t="s">
        <v>9</v>
      </c>
      <c r="B314" s="164">
        <v>2</v>
      </c>
      <c r="C314" s="164"/>
      <c r="D314" s="157" t="s">
        <v>12</v>
      </c>
      <c r="E314" s="158" t="s">
        <v>62</v>
      </c>
      <c r="F314" s="159" t="s">
        <v>60</v>
      </c>
      <c r="G314" s="46"/>
    </row>
    <row r="315" spans="1:7" s="47" customFormat="1" ht="30" customHeight="1" thickBot="1" x14ac:dyDescent="0.3">
      <c r="A315" s="78" t="s">
        <v>2</v>
      </c>
      <c r="B315" s="161" t="s">
        <v>39</v>
      </c>
      <c r="C315" s="160"/>
      <c r="D315" s="78" t="s">
        <v>10</v>
      </c>
      <c r="E315" s="235" t="s">
        <v>11</v>
      </c>
      <c r="F315" s="236"/>
      <c r="G315" s="46"/>
    </row>
    <row r="316" spans="1:7" s="52" customFormat="1" ht="27" x14ac:dyDescent="0.3">
      <c r="A316" s="48" t="s">
        <v>29</v>
      </c>
      <c r="B316" s="49">
        <v>40</v>
      </c>
      <c r="C316" s="152" t="str">
        <f xml:space="preserve"> IF(B316="","",setValueToTime(B316))</f>
        <v>3h20min</v>
      </c>
      <c r="D316" s="55" t="s">
        <v>90</v>
      </c>
      <c r="E316" s="232" t="s">
        <v>91</v>
      </c>
      <c r="F316" s="222"/>
      <c r="G316" s="51"/>
    </row>
    <row r="317" spans="1:7" s="52" customFormat="1" ht="27" x14ac:dyDescent="0.3">
      <c r="A317" s="53" t="s">
        <v>29</v>
      </c>
      <c r="B317" s="54">
        <v>7</v>
      </c>
      <c r="C317" s="153" t="str">
        <f t="shared" ref="C317:C318" si="26" xml:space="preserve"> IF(B317="","",setValueToTime(B317))</f>
        <v>0h35min</v>
      </c>
      <c r="D317" s="55" t="s">
        <v>92</v>
      </c>
      <c r="E317" s="221"/>
      <c r="F317" s="222"/>
      <c r="G317" s="51"/>
    </row>
    <row r="318" spans="1:7" s="52" customFormat="1" ht="27" x14ac:dyDescent="0.3">
      <c r="A318" s="53" t="s">
        <v>172</v>
      </c>
      <c r="B318" s="54">
        <v>1</v>
      </c>
      <c r="C318" s="153" t="str">
        <f t="shared" si="26"/>
        <v>0h5min</v>
      </c>
      <c r="D318" s="55" t="s">
        <v>173</v>
      </c>
      <c r="E318" s="221"/>
      <c r="F318" s="222"/>
      <c r="G318" s="51"/>
    </row>
    <row r="319" spans="1:7" s="52" customFormat="1" ht="56.25" customHeight="1" x14ac:dyDescent="0.3">
      <c r="A319" s="53"/>
      <c r="B319" s="54"/>
      <c r="C319" s="153" t="str">
        <f t="shared" ref="C319:C323" si="27" xml:space="preserve"> IF(B319="","",setValueToTime(B319))</f>
        <v/>
      </c>
      <c r="D319" s="55"/>
      <c r="E319" s="221" t="s">
        <v>178</v>
      </c>
      <c r="F319" s="222"/>
      <c r="G319" s="51"/>
    </row>
    <row r="320" spans="1:7" s="52" customFormat="1" x14ac:dyDescent="0.3">
      <c r="A320" s="54"/>
      <c r="B320" s="54"/>
      <c r="C320" s="154" t="str">
        <f t="shared" si="27"/>
        <v/>
      </c>
      <c r="D320" s="55"/>
      <c r="E320" s="221"/>
      <c r="F320" s="222"/>
      <c r="G320" s="51"/>
    </row>
    <row r="321" spans="1:7" s="52" customFormat="1" x14ac:dyDescent="0.3">
      <c r="A321" s="54"/>
      <c r="B321" s="54"/>
      <c r="C321" s="154" t="str">
        <f t="shared" si="27"/>
        <v/>
      </c>
      <c r="D321" s="55"/>
      <c r="E321" s="221"/>
      <c r="F321" s="222"/>
      <c r="G321" s="51"/>
    </row>
    <row r="322" spans="1:7" s="52" customFormat="1" x14ac:dyDescent="0.3">
      <c r="A322" s="54"/>
      <c r="B322" s="54"/>
      <c r="C322" s="154" t="str">
        <f t="shared" si="27"/>
        <v/>
      </c>
      <c r="D322" s="55"/>
      <c r="E322" s="221"/>
      <c r="F322" s="222"/>
      <c r="G322" s="51"/>
    </row>
    <row r="323" spans="1:7" s="52" customFormat="1" ht="15" thickBot="1" x14ac:dyDescent="0.35">
      <c r="A323" s="56"/>
      <c r="B323" s="56"/>
      <c r="C323" s="155" t="str">
        <f t="shared" si="27"/>
        <v/>
      </c>
      <c r="D323" s="57"/>
      <c r="E323" s="223"/>
      <c r="F323" s="224"/>
      <c r="G323" s="51"/>
    </row>
    <row r="324" spans="1:7" s="52" customFormat="1" ht="15" thickBot="1" x14ac:dyDescent="0.35">
      <c r="A324" s="162" t="s">
        <v>26</v>
      </c>
      <c r="B324" s="83">
        <f>SUM(B316:B323)</f>
        <v>48</v>
      </c>
      <c r="C324" s="162" t="str">
        <f xml:space="preserve"> setValueToTime(B324)</f>
        <v>4h</v>
      </c>
      <c r="D324" s="121"/>
      <c r="E324" s="233"/>
      <c r="F324" s="234"/>
      <c r="G324" s="51"/>
    </row>
    <row r="325" spans="1:7" s="59" customFormat="1" ht="15" thickBot="1" x14ac:dyDescent="0.35">
      <c r="A325" s="77"/>
      <c r="B325" s="77"/>
      <c r="C325" s="77"/>
      <c r="D325" s="77"/>
      <c r="E325" s="77"/>
      <c r="F325" s="77"/>
      <c r="G325" s="58"/>
    </row>
    <row r="326" spans="1:7" s="47" customFormat="1" ht="30" customHeight="1" thickBot="1" x14ac:dyDescent="0.3">
      <c r="A326" s="156" t="s">
        <v>9</v>
      </c>
      <c r="B326" s="164">
        <v>1</v>
      </c>
      <c r="C326" s="164"/>
      <c r="D326" s="157" t="s">
        <v>12</v>
      </c>
      <c r="E326" s="158" t="s">
        <v>41</v>
      </c>
      <c r="F326" s="159" t="s">
        <v>61</v>
      </c>
      <c r="G326" s="46"/>
    </row>
    <row r="327" spans="1:7" s="47" customFormat="1" ht="30" customHeight="1" thickBot="1" x14ac:dyDescent="0.3">
      <c r="A327" s="78" t="s">
        <v>2</v>
      </c>
      <c r="B327" s="161" t="s">
        <v>39</v>
      </c>
      <c r="C327" s="160"/>
      <c r="D327" s="78" t="s">
        <v>10</v>
      </c>
      <c r="E327" s="235" t="s">
        <v>11</v>
      </c>
      <c r="F327" s="236"/>
      <c r="G327" s="46"/>
    </row>
    <row r="328" spans="1:7" s="52" customFormat="1" ht="27" x14ac:dyDescent="0.3">
      <c r="A328" s="48" t="s">
        <v>29</v>
      </c>
      <c r="B328" s="49">
        <v>10</v>
      </c>
      <c r="C328" s="152" t="str">
        <f xml:space="preserve"> IF(B328="","",setValueToTime(B328))</f>
        <v>0h50min</v>
      </c>
      <c r="D328" s="50" t="s">
        <v>77</v>
      </c>
      <c r="E328" s="229"/>
      <c r="F328" s="230"/>
      <c r="G328" s="51"/>
    </row>
    <row r="329" spans="1:7" s="52" customFormat="1" ht="27" x14ac:dyDescent="0.3">
      <c r="A329" s="53" t="s">
        <v>29</v>
      </c>
      <c r="B329" s="54">
        <v>28</v>
      </c>
      <c r="C329" s="153" t="str">
        <f t="shared" ref="C329" si="28" xml:space="preserve"> IF(B329="","",setValueToTime(B329))</f>
        <v>2h20min</v>
      </c>
      <c r="D329" s="55" t="s">
        <v>90</v>
      </c>
      <c r="E329" s="232" t="s">
        <v>91</v>
      </c>
      <c r="F329" s="222"/>
      <c r="G329" s="51"/>
    </row>
    <row r="330" spans="1:7" s="52" customFormat="1" ht="43.5" customHeight="1" x14ac:dyDescent="0.3">
      <c r="A330" s="53"/>
      <c r="B330" s="54"/>
      <c r="C330" s="153" t="str">
        <f t="shared" ref="C330:C335" si="29" xml:space="preserve"> IF(B330="","",setValueToTime(B330))</f>
        <v/>
      </c>
      <c r="D330" s="55"/>
      <c r="E330" s="221" t="s">
        <v>177</v>
      </c>
      <c r="F330" s="222"/>
      <c r="G330" s="51"/>
    </row>
    <row r="331" spans="1:7" s="52" customFormat="1" x14ac:dyDescent="0.3">
      <c r="A331" s="53"/>
      <c r="B331" s="54"/>
      <c r="C331" s="153" t="str">
        <f t="shared" si="29"/>
        <v/>
      </c>
      <c r="D331" s="55"/>
      <c r="E331" s="221"/>
      <c r="F331" s="222"/>
      <c r="G331" s="51"/>
    </row>
    <row r="332" spans="1:7" s="52" customFormat="1" x14ac:dyDescent="0.3">
      <c r="A332" s="54"/>
      <c r="B332" s="54"/>
      <c r="C332" s="154" t="str">
        <f t="shared" si="29"/>
        <v/>
      </c>
      <c r="D332" s="55"/>
      <c r="E332" s="221"/>
      <c r="F332" s="222"/>
      <c r="G332" s="51"/>
    </row>
    <row r="333" spans="1:7" s="52" customFormat="1" x14ac:dyDescent="0.3">
      <c r="A333" s="54"/>
      <c r="B333" s="54"/>
      <c r="C333" s="154" t="str">
        <f t="shared" si="29"/>
        <v/>
      </c>
      <c r="D333" s="55"/>
      <c r="E333" s="221"/>
      <c r="F333" s="222"/>
      <c r="G333" s="51"/>
    </row>
    <row r="334" spans="1:7" s="52" customFormat="1" x14ac:dyDescent="0.3">
      <c r="A334" s="54"/>
      <c r="B334" s="54"/>
      <c r="C334" s="154" t="str">
        <f t="shared" si="29"/>
        <v/>
      </c>
      <c r="D334" s="55"/>
      <c r="E334" s="221"/>
      <c r="F334" s="222"/>
      <c r="G334" s="51"/>
    </row>
    <row r="335" spans="1:7" s="52" customFormat="1" ht="15" thickBot="1" x14ac:dyDescent="0.35">
      <c r="A335" s="56"/>
      <c r="B335" s="56"/>
      <c r="C335" s="155" t="str">
        <f t="shared" si="29"/>
        <v/>
      </c>
      <c r="D335" s="57"/>
      <c r="E335" s="223"/>
      <c r="F335" s="224"/>
      <c r="G335" s="51"/>
    </row>
    <row r="336" spans="1:7" s="52" customFormat="1" ht="15" thickBot="1" x14ac:dyDescent="0.35">
      <c r="A336" s="162" t="s">
        <v>26</v>
      </c>
      <c r="B336" s="83">
        <f>SUM(B328:B335)</f>
        <v>38</v>
      </c>
      <c r="C336" s="162" t="str">
        <f xml:space="preserve"> setValueToTime(B336)</f>
        <v>3h10min</v>
      </c>
      <c r="D336" s="121"/>
      <c r="E336" s="233"/>
      <c r="F336" s="234"/>
      <c r="G336" s="51"/>
    </row>
    <row r="337" spans="1:7" s="59" customFormat="1" x14ac:dyDescent="0.3">
      <c r="A337" s="77"/>
      <c r="B337" s="77"/>
      <c r="C337" s="77"/>
      <c r="D337" s="77"/>
      <c r="E337" s="77"/>
      <c r="F337" s="77"/>
      <c r="G337" s="58"/>
    </row>
  </sheetData>
  <sheetProtection formatRows="0" insertRows="0" insertHyperlinks="0" deleteRows="0" selectLockedCells="1"/>
  <mergeCells count="280">
    <mergeCell ref="E333:F333"/>
    <mergeCell ref="E334:F334"/>
    <mergeCell ref="E335:F335"/>
    <mergeCell ref="E336:F336"/>
    <mergeCell ref="E315:F315"/>
    <mergeCell ref="E316:F316"/>
    <mergeCell ref="E317:F317"/>
    <mergeCell ref="E318:F318"/>
    <mergeCell ref="E319:F319"/>
    <mergeCell ref="E320:F320"/>
    <mergeCell ref="E327:F327"/>
    <mergeCell ref="E328:F328"/>
    <mergeCell ref="E329:F329"/>
    <mergeCell ref="E330:F330"/>
    <mergeCell ref="E331:F331"/>
    <mergeCell ref="E332:F332"/>
    <mergeCell ref="E321:F321"/>
    <mergeCell ref="E322:F322"/>
    <mergeCell ref="E323:F323"/>
    <mergeCell ref="E324:F324"/>
    <mergeCell ref="E312:F312"/>
    <mergeCell ref="E291:F291"/>
    <mergeCell ref="E292:F292"/>
    <mergeCell ref="E293:F293"/>
    <mergeCell ref="E294:F294"/>
    <mergeCell ref="E295:F295"/>
    <mergeCell ref="E296:F296"/>
    <mergeCell ref="E297:F297"/>
    <mergeCell ref="E298:F298"/>
    <mergeCell ref="E299:F299"/>
    <mergeCell ref="E300:F300"/>
    <mergeCell ref="E303:F303"/>
    <mergeCell ref="E304:F304"/>
    <mergeCell ref="E305:F305"/>
    <mergeCell ref="E306:F306"/>
    <mergeCell ref="E307:F307"/>
    <mergeCell ref="E308:F308"/>
    <mergeCell ref="E309:F309"/>
    <mergeCell ref="E310:F310"/>
    <mergeCell ref="E311:F311"/>
    <mergeCell ref="E288:F288"/>
    <mergeCell ref="E267:F267"/>
    <mergeCell ref="E268:F268"/>
    <mergeCell ref="E269:F269"/>
    <mergeCell ref="E270:F270"/>
    <mergeCell ref="E271:F271"/>
    <mergeCell ref="E272:F272"/>
    <mergeCell ref="E273:F273"/>
    <mergeCell ref="E274:F274"/>
    <mergeCell ref="E275:F275"/>
    <mergeCell ref="E276:F276"/>
    <mergeCell ref="E279:F279"/>
    <mergeCell ref="E280:F280"/>
    <mergeCell ref="E281:F281"/>
    <mergeCell ref="E282:F282"/>
    <mergeCell ref="E283:F283"/>
    <mergeCell ref="E284:F284"/>
    <mergeCell ref="E285:F285"/>
    <mergeCell ref="E286:F286"/>
    <mergeCell ref="E287:F287"/>
    <mergeCell ref="E264:F264"/>
    <mergeCell ref="E243:F243"/>
    <mergeCell ref="E244:F244"/>
    <mergeCell ref="E245:F245"/>
    <mergeCell ref="E246:F246"/>
    <mergeCell ref="E247:F247"/>
    <mergeCell ref="E248:F248"/>
    <mergeCell ref="E249:F249"/>
    <mergeCell ref="E250:F250"/>
    <mergeCell ref="E251:F251"/>
    <mergeCell ref="E252:F252"/>
    <mergeCell ref="E255:F255"/>
    <mergeCell ref="E256:F256"/>
    <mergeCell ref="E257:F257"/>
    <mergeCell ref="E258:F258"/>
    <mergeCell ref="E259:F259"/>
    <mergeCell ref="E260:F260"/>
    <mergeCell ref="E261:F261"/>
    <mergeCell ref="E262:F262"/>
    <mergeCell ref="E263:F263"/>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34:F234"/>
    <mergeCell ref="E235:F235"/>
    <mergeCell ref="E236:F236"/>
    <mergeCell ref="E237:F237"/>
    <mergeCell ref="E238:F238"/>
    <mergeCell ref="E239:F239"/>
    <mergeCell ref="E216:F216"/>
    <mergeCell ref="E195:F195"/>
    <mergeCell ref="E196:F196"/>
    <mergeCell ref="E197:F197"/>
    <mergeCell ref="E198:F198"/>
    <mergeCell ref="E199:F199"/>
    <mergeCell ref="E200:F200"/>
    <mergeCell ref="E201:F201"/>
    <mergeCell ref="E202:F202"/>
    <mergeCell ref="E203:F203"/>
    <mergeCell ref="E204:F204"/>
    <mergeCell ref="E207:F207"/>
    <mergeCell ref="E208:F208"/>
    <mergeCell ref="E209:F209"/>
    <mergeCell ref="E210:F210"/>
    <mergeCell ref="E211:F211"/>
    <mergeCell ref="E212:F212"/>
    <mergeCell ref="E213:F213"/>
    <mergeCell ref="E214:F214"/>
    <mergeCell ref="E215:F215"/>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 ref="E21:F21"/>
    <mergeCell ref="E22:F22"/>
    <mergeCell ref="E23:F23"/>
    <mergeCell ref="E24:F24"/>
    <mergeCell ref="E3:F3"/>
    <mergeCell ref="E4:F4"/>
    <mergeCell ref="E5:F5"/>
    <mergeCell ref="E6:F6"/>
    <mergeCell ref="E7:F7"/>
    <mergeCell ref="E8:F8"/>
    <mergeCell ref="E15:F15"/>
    <mergeCell ref="E16:F16"/>
    <mergeCell ref="E17:F17"/>
    <mergeCell ref="E18:F18"/>
    <mergeCell ref="E19:F19"/>
    <mergeCell ref="E20:F20"/>
    <mergeCell ref="E9:F9"/>
    <mergeCell ref="E10:F10"/>
    <mergeCell ref="E11:F11"/>
    <mergeCell ref="E12:F12"/>
  </mergeCells>
  <phoneticPr fontId="0" type="noConversion"/>
  <conditionalFormatting sqref="B336">
    <cfRule type="cellIs" dxfId="29" priority="28" operator="greaterThan">
      <formula>60</formula>
    </cfRule>
  </conditionalFormatting>
  <conditionalFormatting sqref="B324">
    <cfRule type="cellIs" dxfId="28" priority="27" operator="greaterThan">
      <formula>60</formula>
    </cfRule>
  </conditionalFormatting>
  <conditionalFormatting sqref="B312">
    <cfRule type="cellIs" dxfId="27" priority="26" operator="greaterThan">
      <formula>60</formula>
    </cfRule>
  </conditionalFormatting>
  <conditionalFormatting sqref="B300">
    <cfRule type="cellIs" dxfId="26" priority="25" operator="greaterThan">
      <formula>60</formula>
    </cfRule>
  </conditionalFormatting>
  <conditionalFormatting sqref="B288">
    <cfRule type="cellIs" dxfId="25" priority="24" operator="greaterThan">
      <formula>60</formula>
    </cfRule>
  </conditionalFormatting>
  <conditionalFormatting sqref="B276">
    <cfRule type="cellIs" dxfId="24" priority="23" operator="greaterThan">
      <formula>60</formula>
    </cfRule>
  </conditionalFormatting>
  <conditionalFormatting sqref="B264">
    <cfRule type="cellIs" dxfId="23" priority="22" operator="greaterThan">
      <formula>60</formula>
    </cfRule>
  </conditionalFormatting>
  <conditionalFormatting sqref="B252">
    <cfRule type="cellIs" dxfId="22" priority="21" operator="greaterThan">
      <formula>60</formula>
    </cfRule>
  </conditionalFormatting>
  <conditionalFormatting sqref="B240">
    <cfRule type="cellIs" dxfId="21" priority="20" operator="greaterThan">
      <formula>60</formula>
    </cfRule>
  </conditionalFormatting>
  <conditionalFormatting sqref="B228">
    <cfRule type="cellIs" dxfId="20" priority="19" operator="greaterThan">
      <formula>60</formula>
    </cfRule>
  </conditionalFormatting>
  <conditionalFormatting sqref="B216">
    <cfRule type="cellIs" dxfId="19" priority="18" operator="greaterThan">
      <formula>60</formula>
    </cfRule>
  </conditionalFormatting>
  <conditionalFormatting sqref="B204">
    <cfRule type="cellIs" dxfId="18" priority="17" operator="greaterThan">
      <formula>60</formula>
    </cfRule>
  </conditionalFormatting>
  <conditionalFormatting sqref="B192">
    <cfRule type="cellIs" dxfId="17" priority="16"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4:B11 B328:B335 B316:B323 B292:B299 B280:B287 B268:B275 B256:B263 B244:B251 B232:B239 B220:B227 B208:B215 B196:B203 B184:B191 B172:B179 B160:B167 B148:B155 B136:B143 B124:B131 B112:B119 B100:B107 B88:B95 B76:B83 B64:B71 B52:B59 B40:B47 B28:B35 B16:B23 B304:B311" xr:uid="{A0CB8B80-8A29-443A-9317-3DECDA271CD4}">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36 B324 B312 B300 B288 B276 B264 B252 B240 B228 B216 B204 B192 B180 B168 B156 B144 B132 B120 B108 B96 B84 B72 B60 B48 B36 B24 B12" xr:uid="{D11A3747-C077-4380-9A04-D9A8A26A0A80}">
      <formula1>0</formula1>
      <formula2>60</formula2>
    </dataValidation>
    <dataValidation type="list" allowBlank="1" showInputMessage="1" showErrorMessage="1" sqref="A4:A11 A328:A335 A316:A323 A292:A299 A280:A287 A268:A275 A256:A263 A244:A251 A232:A239 A220:A227 A208:A215 A196:A203 A184:A191 A172:A179 A160:A167 A148:A155 A136:A143 A124:A131 A112:A119 A100:A107 A88:A95 A76:A83 A64:A71 A52:A59 A40:A47 A28:A35 A16:A23 A304:A311" xr:uid="{E1174483-BACE-4459-99DD-E9CE81227193}">
      <formula1>ListeTaches</formula1>
    </dataValidation>
  </dataValidations>
  <hyperlinks>
    <hyperlink ref="E329" r:id="rId1" xr:uid="{88386EBF-B08E-49A7-ACB0-E21648EA3F29}"/>
    <hyperlink ref="E316" r:id="rId2" xr:uid="{6A29014E-C30D-4EB1-9BD0-4D19F42128FF}"/>
    <hyperlink ref="E304" r:id="rId3" xr:uid="{0595EDDB-AFA7-44E5-9148-BBF2A3DBC0C0}"/>
    <hyperlink ref="E211" r:id="rId4" location=":~:text=In%20MySQL%2C%20ENUM%20is%20a%20data%20type.%20It,software%20development%20for%20a%20valid%20list%20of%20values." xr:uid="{608DBC06-8887-4341-AF80-9939E63FAEBA}"/>
    <hyperlink ref="E210" r:id="rId5" xr:uid="{84EA4C74-EEBA-4EFF-AB37-3644A560A345}"/>
  </hyperlinks>
  <printOptions horizontalCentered="1" verticalCentered="1"/>
  <pageMargins left="0.78740157480314965" right="0.78740157480314965" top="0.98425196850393704" bottom="0.98425196850393704" header="0.51181102362204722" footer="0.51181102362204722"/>
  <pageSetup paperSize="9" scale="35" fitToHeight="4" orientation="portrait" r:id="rId6"/>
  <headerFooter alignWithMargins="0">
    <oddHeader>&amp;L&amp;"ETML,Normal"&amp;14ETML&amp;R&amp;14&amp;USection Informatique</oddHeader>
    <oddFooter>&amp;L&amp;14&amp;D - GGZ&amp;C&amp;14&amp;F - &amp;A&amp;R&amp;14&amp;P/&amp;N</oddFooter>
  </headerFooter>
  <drawing r:id="rId7"/>
  <legacyDrawing r:id="rId8"/>
  <controls>
    <mc:AlternateContent xmlns:mc="http://schemas.openxmlformats.org/markup-compatibility/2006">
      <mc:Choice Requires="x14">
        <control shapeId="9224" r:id="rId9" name="btnRapatriementJournal">
          <controlPr defaultSize="0" autoLine="0" r:id="rId10">
            <anchor moveWithCells="1">
              <from>
                <xdr:col>0</xdr:col>
                <xdr:colOff>104775</xdr:colOff>
                <xdr:row>0</xdr:row>
                <xdr:rowOff>85725</xdr:rowOff>
              </from>
              <to>
                <xdr:col>1</xdr:col>
                <xdr:colOff>457200</xdr:colOff>
                <xdr:row>0</xdr:row>
                <xdr:rowOff>552450</xdr:rowOff>
              </to>
            </anchor>
          </controlPr>
        </control>
      </mc:Choice>
      <mc:Fallback>
        <control shapeId="9224" r:id="rId9" name="btnRapatriementJournal"/>
      </mc:Fallback>
    </mc:AlternateContent>
    <mc:AlternateContent xmlns:mc="http://schemas.openxmlformats.org/markup-compatibility/2006">
      <mc:Choice Requires="x14">
        <control shapeId="9220" r:id="rId11" name="btnAjoutSeqJournal">
          <controlPr defaultSize="0" autoLine="0" r:id="rId12">
            <anchor moveWithCells="1">
              <from>
                <xdr:col>2</xdr:col>
                <xdr:colOff>85725</xdr:colOff>
                <xdr:row>0</xdr:row>
                <xdr:rowOff>85725</xdr:rowOff>
              </from>
              <to>
                <xdr:col>3</xdr:col>
                <xdr:colOff>914400</xdr:colOff>
                <xdr:row>0</xdr:row>
                <xdr:rowOff>561975</xdr:rowOff>
              </to>
            </anchor>
          </controlPr>
        </control>
      </mc:Choice>
      <mc:Fallback>
        <control shapeId="9220" r:id="rId11"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189"/>
      <c r="B10" s="189"/>
      <c r="C10" s="189"/>
      <c r="D10" s="189"/>
      <c r="E10" s="189"/>
      <c r="F10" s="189"/>
      <c r="G10" s="189"/>
      <c r="H10" s="189"/>
      <c r="I10" s="189"/>
      <c r="J10" s="189"/>
      <c r="K10" s="189"/>
      <c r="L10" s="189"/>
      <c r="M10" s="189"/>
      <c r="N10" s="189"/>
      <c r="O10" s="189"/>
      <c r="P10" s="189"/>
      <c r="Q10" s="189"/>
      <c r="R10" s="189"/>
      <c r="S10" s="189"/>
      <c r="T10" s="189"/>
      <c r="U10" s="189"/>
      <c r="V10" s="189"/>
      <c r="W10" s="189"/>
      <c r="X10" s="189"/>
      <c r="Y10" s="189"/>
      <c r="Z10" s="189"/>
      <c r="AA10" s="189"/>
      <c r="AB10" s="189"/>
      <c r="AC10" s="189"/>
      <c r="AD10" s="189"/>
      <c r="AE10" s="189"/>
      <c r="AF10" s="189"/>
      <c r="AG10" s="189"/>
      <c r="AH10" s="189"/>
      <c r="AI10" s="189"/>
      <c r="AJ10" s="189"/>
      <c r="AK10" s="189"/>
      <c r="AL10" s="189"/>
      <c r="AM10" s="189"/>
      <c r="AN10" s="189"/>
      <c r="AO10" s="189"/>
      <c r="AP10" s="189"/>
      <c r="AQ10" s="189"/>
      <c r="AR10" s="189"/>
      <c r="AS10" s="189"/>
      <c r="AT10" s="189"/>
      <c r="AU10" s="189"/>
      <c r="AV10" s="189"/>
      <c r="AW10" s="189"/>
      <c r="AX10" s="189"/>
      <c r="AY10" s="189"/>
      <c r="AZ10" s="189"/>
      <c r="BA10" s="189"/>
      <c r="BB10" s="189"/>
      <c r="BC10" s="189"/>
      <c r="BD10" s="189"/>
      <c r="BE10" s="189"/>
      <c r="BF10" s="189"/>
      <c r="BG10" s="189"/>
      <c r="BH10" s="189"/>
      <c r="BI10" s="90"/>
    </row>
    <row r="11" spans="1:61" ht="18" x14ac:dyDescent="0.25">
      <c r="A11" s="190"/>
      <c r="B11" s="190"/>
      <c r="C11" s="190"/>
      <c r="D11" s="190"/>
      <c r="E11" s="190"/>
      <c r="F11" s="190"/>
      <c r="G11" s="190"/>
      <c r="H11" s="190"/>
      <c r="I11" s="190"/>
      <c r="J11" s="190"/>
      <c r="K11" s="190"/>
      <c r="L11" s="190"/>
      <c r="M11" s="190"/>
      <c r="N11" s="190"/>
      <c r="O11" s="190"/>
      <c r="P11" s="190"/>
      <c r="Q11" s="190"/>
      <c r="R11" s="190"/>
      <c r="S11" s="190"/>
      <c r="T11" s="190"/>
      <c r="U11" s="190"/>
      <c r="V11" s="190"/>
      <c r="W11" s="190"/>
      <c r="X11" s="190"/>
      <c r="Y11" s="190"/>
      <c r="Z11" s="190"/>
      <c r="AA11" s="190"/>
      <c r="AB11" s="190"/>
      <c r="AC11" s="190"/>
      <c r="AD11" s="190"/>
      <c r="AE11" s="190"/>
      <c r="AF11" s="190"/>
      <c r="AG11" s="190"/>
      <c r="AH11" s="190"/>
      <c r="AI11" s="190"/>
      <c r="AJ11" s="190"/>
      <c r="AK11" s="190"/>
      <c r="AL11" s="190"/>
      <c r="AM11" s="190"/>
      <c r="AN11" s="190"/>
      <c r="AO11" s="190"/>
      <c r="AP11" s="190"/>
      <c r="AQ11" s="190"/>
      <c r="AR11" s="190"/>
      <c r="AS11" s="190"/>
      <c r="AT11" s="190"/>
      <c r="AU11" s="190"/>
      <c r="AV11" s="190"/>
      <c r="AW11" s="190"/>
      <c r="AX11" s="190"/>
      <c r="AY11" s="190"/>
      <c r="AZ11" s="190"/>
      <c r="BA11" s="190"/>
      <c r="BB11" s="190"/>
      <c r="BC11" s="190"/>
      <c r="BD11" s="190"/>
      <c r="BE11" s="190"/>
      <c r="BF11" s="190"/>
      <c r="BG11" s="190"/>
      <c r="BH11" s="190"/>
      <c r="BI11" s="90"/>
    </row>
    <row r="12" spans="1:61" ht="18.75" thickBot="1" x14ac:dyDescent="0.3">
      <c r="A12" s="191"/>
      <c r="B12" s="191"/>
      <c r="C12" s="191"/>
      <c r="D12" s="191"/>
      <c r="E12" s="191"/>
      <c r="F12" s="191"/>
      <c r="G12" s="191"/>
      <c r="H12" s="191"/>
      <c r="I12" s="191"/>
      <c r="J12" s="191"/>
      <c r="K12" s="191"/>
      <c r="L12" s="191"/>
      <c r="M12" s="191"/>
      <c r="N12" s="191"/>
      <c r="O12" s="191"/>
      <c r="P12" s="191"/>
      <c r="Q12" s="191"/>
      <c r="R12" s="191"/>
      <c r="S12" s="191"/>
      <c r="T12" s="191"/>
      <c r="U12" s="191"/>
      <c r="V12" s="191"/>
      <c r="W12" s="191"/>
      <c r="X12" s="191"/>
      <c r="Y12" s="191"/>
      <c r="Z12" s="191"/>
      <c r="AA12" s="191"/>
      <c r="AB12" s="191"/>
      <c r="AC12" s="191"/>
      <c r="AD12" s="191"/>
      <c r="AE12" s="191"/>
      <c r="AF12" s="191"/>
      <c r="AG12" s="191"/>
      <c r="AH12" s="191"/>
      <c r="AI12" s="191"/>
      <c r="AJ12" s="191"/>
      <c r="AK12" s="191"/>
      <c r="AL12" s="191"/>
      <c r="AM12" s="191"/>
      <c r="AN12" s="191"/>
      <c r="AO12" s="191"/>
      <c r="AP12" s="191"/>
      <c r="AQ12" s="191"/>
      <c r="AR12" s="191"/>
      <c r="AS12" s="191"/>
      <c r="AT12" s="191"/>
      <c r="AU12" s="191"/>
      <c r="AV12" s="191"/>
      <c r="AW12" s="191"/>
      <c r="AX12" s="191"/>
      <c r="AY12" s="191"/>
      <c r="AZ12" s="191"/>
      <c r="BA12" s="191"/>
      <c r="BB12" s="191"/>
      <c r="BC12" s="191"/>
      <c r="BD12" s="191"/>
      <c r="BE12" s="191"/>
      <c r="BF12" s="191"/>
      <c r="BG12" s="191"/>
      <c r="BH12" s="191"/>
      <c r="BI12" s="90"/>
    </row>
    <row r="13" spans="1:61" ht="18.75" thickBot="1" x14ac:dyDescent="0.3">
      <c r="A13" s="192" t="s">
        <v>9</v>
      </c>
      <c r="B13" s="193"/>
      <c r="C13" s="193"/>
      <c r="D13" s="193"/>
      <c r="E13" s="193"/>
      <c r="F13" s="193"/>
      <c r="G13" s="193"/>
      <c r="H13" s="193"/>
      <c r="I13" s="193"/>
      <c r="J13" s="193"/>
      <c r="K13" s="193"/>
      <c r="L13" s="193"/>
      <c r="M13" s="193"/>
      <c r="N13" s="193"/>
      <c r="O13" s="193"/>
      <c r="P13" s="193"/>
      <c r="Q13" s="193"/>
      <c r="R13" s="193"/>
      <c r="S13" s="193"/>
      <c r="T13" s="193"/>
      <c r="U13" s="193"/>
      <c r="V13" s="193"/>
      <c r="W13" s="193"/>
      <c r="X13" s="193"/>
      <c r="Y13" s="193"/>
      <c r="Z13" s="193"/>
      <c r="AA13" s="193"/>
      <c r="AB13" s="193"/>
      <c r="AC13" s="193"/>
      <c r="AD13" s="193"/>
      <c r="AE13" s="193"/>
      <c r="AF13" s="193"/>
      <c r="AG13" s="193"/>
      <c r="AH13" s="193"/>
      <c r="AI13" s="193"/>
      <c r="AJ13" s="193"/>
      <c r="AK13" s="193"/>
      <c r="AL13" s="193"/>
      <c r="AM13" s="193"/>
      <c r="AN13" s="193"/>
      <c r="AO13" s="193"/>
      <c r="AP13" s="193"/>
      <c r="AQ13" s="193"/>
      <c r="AR13" s="193"/>
      <c r="AS13" s="193"/>
      <c r="AT13" s="193"/>
      <c r="AU13" s="193"/>
      <c r="AV13" s="193"/>
      <c r="AW13" s="193"/>
      <c r="AX13" s="193"/>
      <c r="AY13" s="193"/>
      <c r="AZ13" s="193"/>
      <c r="BA13" s="193"/>
      <c r="BB13" s="193"/>
      <c r="BC13" s="193"/>
      <c r="BD13" s="193"/>
      <c r="BE13" s="193"/>
      <c r="BF13" s="193"/>
      <c r="BG13" s="193"/>
      <c r="BH13" s="194"/>
      <c r="BI13" s="90"/>
    </row>
    <row r="14" spans="1:61" ht="15.75" thickBot="1" x14ac:dyDescent="0.35">
      <c r="A14" s="103"/>
      <c r="B14" s="104"/>
      <c r="C14" s="104"/>
      <c r="D14" s="104"/>
      <c r="E14" s="195" t="s">
        <v>33</v>
      </c>
      <c r="F14" s="195"/>
      <c r="G14" s="195"/>
      <c r="H14" s="195"/>
      <c r="I14" s="104"/>
      <c r="J14" s="104"/>
      <c r="K14" s="196" t="s">
        <v>21</v>
      </c>
      <c r="L14" s="196"/>
      <c r="M14" s="196"/>
      <c r="N14" s="196"/>
      <c r="O14" s="129"/>
      <c r="P14" s="129"/>
      <c r="Q14" s="195" t="s">
        <v>34</v>
      </c>
      <c r="R14" s="195"/>
      <c r="S14" s="195"/>
      <c r="T14" s="195"/>
      <c r="U14" s="104"/>
      <c r="V14" s="104"/>
      <c r="W14" s="196" t="s">
        <v>22</v>
      </c>
      <c r="X14" s="196"/>
      <c r="Y14" s="196"/>
      <c r="Z14" s="196"/>
      <c r="AA14" s="129"/>
      <c r="AB14" s="129"/>
      <c r="AC14" s="195" t="s">
        <v>35</v>
      </c>
      <c r="AD14" s="195"/>
      <c r="AE14" s="195"/>
      <c r="AF14" s="195"/>
      <c r="AG14" s="104"/>
      <c r="AH14" s="104"/>
      <c r="AI14" s="196" t="s">
        <v>23</v>
      </c>
      <c r="AJ14" s="196"/>
      <c r="AK14" s="196"/>
      <c r="AL14" s="196"/>
      <c r="AM14" s="129"/>
      <c r="AN14" s="129"/>
      <c r="AO14" s="195" t="s">
        <v>36</v>
      </c>
      <c r="AP14" s="195"/>
      <c r="AQ14" s="195"/>
      <c r="AR14" s="195"/>
      <c r="AS14" s="104"/>
      <c r="AT14" s="104"/>
      <c r="AU14" s="196" t="s">
        <v>24</v>
      </c>
      <c r="AV14" s="196"/>
      <c r="AW14" s="196"/>
      <c r="AX14" s="196"/>
      <c r="AY14" s="129"/>
      <c r="AZ14" s="129"/>
      <c r="BA14" s="195" t="s">
        <v>37</v>
      </c>
      <c r="BB14" s="195"/>
      <c r="BC14" s="195"/>
      <c r="BD14" s="195"/>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9</v>
      </c>
      <c r="B1" s="163">
        <v>1</v>
      </c>
      <c r="C1" s="163"/>
      <c r="D1" s="82" t="s">
        <v>12</v>
      </c>
      <c r="E1" s="94"/>
      <c r="F1" s="126"/>
      <c r="G1" s="46"/>
    </row>
    <row r="2" spans="1:7" s="47" customFormat="1" ht="30" customHeight="1" thickBot="1" x14ac:dyDescent="0.3">
      <c r="A2" s="80" t="s">
        <v>2</v>
      </c>
      <c r="B2" s="150" t="s">
        <v>39</v>
      </c>
      <c r="C2" s="151"/>
      <c r="D2" s="80" t="s">
        <v>10</v>
      </c>
      <c r="E2" s="227" t="s">
        <v>11</v>
      </c>
      <c r="F2" s="228"/>
      <c r="G2" s="46"/>
    </row>
    <row r="3" spans="1:7" s="52" customFormat="1" x14ac:dyDescent="0.3">
      <c r="A3" s="48"/>
      <c r="B3" s="49"/>
      <c r="C3" s="152" t="str">
        <f xml:space="preserve"> IF(B3="","",setValueToTime(B3))</f>
        <v/>
      </c>
      <c r="D3" s="50"/>
      <c r="E3" s="229"/>
      <c r="F3" s="230"/>
      <c r="G3" s="51"/>
    </row>
    <row r="4" spans="1:7" s="52" customFormat="1" x14ac:dyDescent="0.3">
      <c r="A4" s="53"/>
      <c r="B4" s="54"/>
      <c r="C4" s="153" t="str">
        <f t="shared" ref="C4:C10" si="0" xml:space="preserve"> IF(B4="","",setValueToTime(B4))</f>
        <v/>
      </c>
      <c r="D4" s="55"/>
      <c r="E4" s="221"/>
      <c r="F4" s="222"/>
      <c r="G4" s="51"/>
    </row>
    <row r="5" spans="1:7" s="52" customFormat="1" x14ac:dyDescent="0.3">
      <c r="A5" s="53"/>
      <c r="B5" s="54"/>
      <c r="C5" s="153" t="str">
        <f t="shared" si="0"/>
        <v/>
      </c>
      <c r="D5" s="55"/>
      <c r="E5" s="221"/>
      <c r="F5" s="222"/>
      <c r="G5" s="51"/>
    </row>
    <row r="6" spans="1:7" s="52" customFormat="1" x14ac:dyDescent="0.3">
      <c r="A6" s="53"/>
      <c r="B6" s="54"/>
      <c r="C6" s="153" t="str">
        <f t="shared" si="0"/>
        <v/>
      </c>
      <c r="D6" s="55"/>
      <c r="E6" s="221"/>
      <c r="F6" s="222"/>
      <c r="G6" s="51"/>
    </row>
    <row r="7" spans="1:7" s="52" customFormat="1" x14ac:dyDescent="0.3">
      <c r="A7" s="54"/>
      <c r="B7" s="54"/>
      <c r="C7" s="154"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ht="15" thickBot="1" x14ac:dyDescent="0.35">
      <c r="A10" s="56"/>
      <c r="B10" s="56"/>
      <c r="C10" s="155" t="str">
        <f t="shared" si="0"/>
        <v/>
      </c>
      <c r="D10" s="57"/>
      <c r="E10" s="223"/>
      <c r="F10" s="224"/>
      <c r="G10" s="51"/>
    </row>
    <row r="11" spans="1:7" s="52" customFormat="1" ht="15" thickBot="1" x14ac:dyDescent="0.35">
      <c r="A11" s="111" t="s">
        <v>26</v>
      </c>
      <c r="B11" s="84">
        <f>SUM(B3:B10)</f>
        <v>0</v>
      </c>
      <c r="C11" s="111" t="str">
        <f xml:space="preserve"> setValueToTime(B11)</f>
        <v>0h</v>
      </c>
      <c r="D11" s="120"/>
      <c r="E11" s="225"/>
      <c r="F11" s="226"/>
      <c r="G11" s="51"/>
    </row>
    <row r="12" spans="1:7" s="59" customFormat="1" x14ac:dyDescent="0.3">
      <c r="A12" s="79"/>
      <c r="B12" s="79"/>
      <c r="C12" s="79"/>
      <c r="D12" s="79"/>
      <c r="E12" s="79"/>
      <c r="F12" s="79"/>
      <c r="G12" s="58"/>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1"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9</v>
      </c>
      <c r="B1" s="164">
        <v>1</v>
      </c>
      <c r="C1" s="164"/>
      <c r="D1" s="157" t="s">
        <v>12</v>
      </c>
      <c r="E1" s="158"/>
      <c r="F1" s="159"/>
      <c r="G1" s="46"/>
    </row>
    <row r="2" spans="1:7" s="47" customFormat="1" ht="30" customHeight="1" thickBot="1" x14ac:dyDescent="0.3">
      <c r="A2" s="78" t="s">
        <v>2</v>
      </c>
      <c r="B2" s="161" t="s">
        <v>39</v>
      </c>
      <c r="C2" s="160"/>
      <c r="D2" s="78" t="s">
        <v>10</v>
      </c>
      <c r="E2" s="235" t="s">
        <v>11</v>
      </c>
      <c r="F2" s="236"/>
      <c r="G2" s="46"/>
    </row>
    <row r="3" spans="1:7" s="52" customFormat="1" x14ac:dyDescent="0.3">
      <c r="A3" s="48"/>
      <c r="B3" s="49"/>
      <c r="C3" s="152" t="str">
        <f xml:space="preserve"> IF(B3="","",setValueToTime(B3))</f>
        <v/>
      </c>
      <c r="D3" s="50"/>
      <c r="E3" s="229"/>
      <c r="F3" s="230"/>
      <c r="G3" s="51"/>
    </row>
    <row r="4" spans="1:7" s="52" customFormat="1" x14ac:dyDescent="0.3">
      <c r="A4" s="53"/>
      <c r="B4" s="54"/>
      <c r="C4" s="153" t="str">
        <f t="shared" ref="C4:C10" si="0" xml:space="preserve"> IF(B4="","",setValueToTime(B4))</f>
        <v/>
      </c>
      <c r="D4" s="55"/>
      <c r="E4" s="221"/>
      <c r="F4" s="222"/>
      <c r="G4" s="51"/>
    </row>
    <row r="5" spans="1:7" s="52" customFormat="1" x14ac:dyDescent="0.3">
      <c r="A5" s="53"/>
      <c r="B5" s="54"/>
      <c r="C5" s="153" t="str">
        <f t="shared" si="0"/>
        <v/>
      </c>
      <c r="D5" s="55"/>
      <c r="E5" s="221"/>
      <c r="F5" s="222"/>
      <c r="G5" s="51"/>
    </row>
    <row r="6" spans="1:7" s="52" customFormat="1" x14ac:dyDescent="0.3">
      <c r="A6" s="53"/>
      <c r="B6" s="54"/>
      <c r="C6" s="153" t="str">
        <f t="shared" si="0"/>
        <v/>
      </c>
      <c r="D6" s="55"/>
      <c r="E6" s="221"/>
      <c r="F6" s="222"/>
      <c r="G6" s="51"/>
    </row>
    <row r="7" spans="1:7" s="52" customFormat="1" x14ac:dyDescent="0.3">
      <c r="A7" s="54"/>
      <c r="B7" s="54"/>
      <c r="C7" s="154"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ht="15" thickBot="1" x14ac:dyDescent="0.35">
      <c r="A10" s="56"/>
      <c r="B10" s="56"/>
      <c r="C10" s="155" t="str">
        <f t="shared" si="0"/>
        <v/>
      </c>
      <c r="D10" s="57"/>
      <c r="E10" s="223"/>
      <c r="F10" s="224"/>
      <c r="G10" s="51"/>
    </row>
    <row r="11" spans="1:7" s="52" customFormat="1" ht="15" thickBot="1" x14ac:dyDescent="0.35">
      <c r="A11" s="162" t="s">
        <v>26</v>
      </c>
      <c r="B11" s="83">
        <f>SUM(B3:B10)</f>
        <v>0</v>
      </c>
      <c r="C11" s="162" t="str">
        <f xml:space="preserve"> setValueToTime(B11)</f>
        <v>0h</v>
      </c>
      <c r="D11" s="121"/>
      <c r="E11" s="233"/>
      <c r="F11" s="234"/>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2162CB43CF76245B11EFE89D6DF1917" ma:contentTypeVersion="16" ma:contentTypeDescription="Crée un document." ma:contentTypeScope="" ma:versionID="6747d38d10f081299849da6a8882a299">
  <xsd:schema xmlns:xsd="http://www.w3.org/2001/XMLSchema" xmlns:xs="http://www.w3.org/2001/XMLSchema" xmlns:p="http://schemas.microsoft.com/office/2006/metadata/properties" xmlns:ns2="747d2dec-4ece-4e20-a992-7fd9f36be7a3" xmlns:ns3="4f59afc1-9a8a-4fb4-a375-c0d981ade2a0" targetNamespace="http://schemas.microsoft.com/office/2006/metadata/properties" ma:root="true" ma:fieldsID="8304702d49f9aff9433fb4624d9f2b08" ns2:_="" ns3:_="">
    <xsd:import namespace="747d2dec-4ece-4e20-a992-7fd9f36be7a3"/>
    <xsd:import namespace="4f59afc1-9a8a-4fb4-a375-c0d981ade2a0"/>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ServiceAutoKeyPoints" minOccurs="0"/>
                <xsd:element ref="ns2:MediaServiceKeyPoints" minOccurs="0"/>
                <xsd:element ref="ns2:MediaLengthInSeconds" minOccurs="0"/>
                <xsd:element ref="ns3:SharedWithUsers" minOccurs="0"/>
                <xsd:element ref="ns3:SharedWithDetails" minOccurs="0"/>
                <xsd:element ref="ns2:lcf76f155ced4ddcb4097134ff3c332f" minOccurs="0"/>
                <xsd:element ref="ns3:TaxCatchAll"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47d2dec-4ece-4e20-a992-7fd9f36be7a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LengthInSeconds" ma:index="17" nillable="true" ma:displayName="MediaLengthInSeconds" ma:hidden="true" ma:internalName="MediaLengthInSeconds" ma:readOnly="true">
      <xsd:simpleType>
        <xsd:restriction base="dms:Unknown"/>
      </xsd:simpleType>
    </xsd:element>
    <xsd:element name="lcf76f155ced4ddcb4097134ff3c332f" ma:index="21"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Location" ma:index="23"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f59afc1-9a8a-4fb4-a375-c0d981ade2a0" elementFormDefault="qualified">
    <xsd:import namespace="http://schemas.microsoft.com/office/2006/documentManagement/types"/>
    <xsd:import namespace="http://schemas.microsoft.com/office/infopath/2007/PartnerControls"/>
    <xsd:element name="SharedWithUsers" ma:index="18"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Partagé avec détails" ma:internalName="SharedWithDetails" ma:readOnly="true">
      <xsd:simpleType>
        <xsd:restriction base="dms:Note">
          <xsd:maxLength value="255"/>
        </xsd:restriction>
      </xsd:simpleType>
    </xsd:element>
    <xsd:element name="TaxCatchAll" ma:index="22" nillable="true" ma:displayName="Taxonomy Catch All Column" ma:hidden="true" ma:list="{86792262-f85e-43d3-8680-9644f44f4374}" ma:internalName="TaxCatchAll" ma:showField="CatchAllData" ma:web="4f59afc1-9a8a-4fb4-a375-c0d981ade2a0">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747d2dec-4ece-4e20-a992-7fd9f36be7a3">
      <Terms xmlns="http://schemas.microsoft.com/office/infopath/2007/PartnerControls"/>
    </lcf76f155ced4ddcb4097134ff3c332f>
    <TaxCatchAll xmlns="4f59afc1-9a8a-4fb4-a375-c0d981ade2a0" xsi:nil="true"/>
  </documentManagement>
</p:properties>
</file>

<file path=customXml/itemProps1.xml><?xml version="1.0" encoding="utf-8"?>
<ds:datastoreItem xmlns:ds="http://schemas.openxmlformats.org/officeDocument/2006/customXml" ds:itemID="{9A713957-6A17-45A9-9643-8922B95A855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47d2dec-4ece-4e20-a992-7fd9f36be7a3"/>
    <ds:schemaRef ds:uri="4f59afc1-9a8a-4fb4-a375-c0d981ade2a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783E5CC-F7F4-48BF-8959-98A07796A32F}">
  <ds:schemaRefs>
    <ds:schemaRef ds:uri="http://schemas.microsoft.com/sharepoint/v3/contenttype/forms"/>
  </ds:schemaRefs>
</ds:datastoreItem>
</file>

<file path=customXml/itemProps3.xml><?xml version="1.0" encoding="utf-8"?>
<ds:datastoreItem xmlns:ds="http://schemas.openxmlformats.org/officeDocument/2006/customXml" ds:itemID="{E3671ADF-5F05-4D46-9F13-47A79F05D39A}">
  <ds:schemaRefs>
    <ds:schemaRef ds:uri="http://schemas.microsoft.com/office/2006/documentManagement/types"/>
    <ds:schemaRef ds:uri="http://schemas.openxmlformats.org/package/2006/metadata/core-properties"/>
    <ds:schemaRef ds:uri="http://www.w3.org/XML/1998/namespace"/>
    <ds:schemaRef ds:uri="http://schemas.microsoft.com/office/2006/metadata/properties"/>
    <ds:schemaRef ds:uri="4f59afc1-9a8a-4fb4-a375-c0d981ade2a0"/>
    <ds:schemaRef ds:uri="http://purl.org/dc/dcmitype/"/>
    <ds:schemaRef ds:uri="http://purl.org/dc/elements/1.1/"/>
    <ds:schemaRef ds:uri="http://schemas.microsoft.com/office/infopath/2007/PartnerControls"/>
    <ds:schemaRef ds:uri="747d2dec-4ece-4e20-a992-7fd9f36be7a3"/>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DavidSydney Assayah</dc:creator>
  <cp:lastModifiedBy>DavidSydney Assayah</cp:lastModifiedBy>
  <cp:lastPrinted>2023-05-26T06:05:42Z</cp:lastPrinted>
  <dcterms:created xsi:type="dcterms:W3CDTF">1996-10-21T11:03:58Z</dcterms:created>
  <dcterms:modified xsi:type="dcterms:W3CDTF">2023-05-30T07:10:44Z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0x010100A2162CB43CF76245B11EFE89D6DF1917</vt:lpwstr>
  </property>
</Properties>
</file>