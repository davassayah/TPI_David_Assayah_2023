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
    </mc:Choice>
  </mc:AlternateContent>
  <xr:revisionPtr revIDLastSave="0" documentId="13_ncr:1_{C453BC4A-9F3E-49E6-AFA9-7DB8255DF9C8}" xr6:coauthVersionLast="47" xr6:coauthVersionMax="47" xr10:uidLastSave="{00000000-0000-0000-0000-000000000000}"/>
  <bookViews>
    <workbookView xWindow="-12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25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57" i="12"/>
  <c r="C256" i="12"/>
  <c r="C26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<sst xmlns="http://schemas.openxmlformats.org/spreadsheetml/2006/main" count="1254" uniqueCount="202">
  <si>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</si>
  <si>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</si>
  <si>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</si>
  <si>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</si>
  <si>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</si>
  <si>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</si>
  <si>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</si>
  <si>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</si>
  <si>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</si>
  <si>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</si>
  <si>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</si>
  <si>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</si>
  <si>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</si>
  <si>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</si>
  <si>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</si>
  <si>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</si>
  <si>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</si>
  <si>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</si>
  <si>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</si>
  <si>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</si>
  <si>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</si>
  <si>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</si>
  <si>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</si>
  <si>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</si>
  <si>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</si>
  <si>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</si>
  <si>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</si>
  <si>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</si>
  <si>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</si>
  <si>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</si>
  <si>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</si>
  <si>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</si>
  <si>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</si>
  <si>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</si>
  <si>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</si>
  <si>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</si>
  <si>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</si>
  <si>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</si>
  <si>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</si>
  <si>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</si>
  <si>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</si>
  <si>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</si>
  <si>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</si>
  <si>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</si>
  <si>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</si>
  <si>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</si>
  <si>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</si>
  <si>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</si>
  <si>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</si>
  <si>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</si>
  <si>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</si>
  <si>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</si>
  <si>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</si>
  <si>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</si>
  <si>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</si>
  <si>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</si>
  <si>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</si>
  <si>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</si>
  <si>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</si>
  <si>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</si>
  <si>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</si>
  <si>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</si>
  <si>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</si>
  <si>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</si>
  <si>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</si>
  <si>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</si>
  <si>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</si>
  <si>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</si>
  <si>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</si>
  <si>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</si>
  <si>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</si>
  <si>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</si>
  <si>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</si>
  <si>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</si>
  <si>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</si>
  <si>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</si>
  <si>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</si>
  <si>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</si>
  <si>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</si>
  <si>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</si>
  <si>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</si>
  <si>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</si>
  <si>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</si>
  <si>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</si>
  <si>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</si>
  <si>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</si>
  <si>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</si>
  <si>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</si>
  <si>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</si>
  <si>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</si>
  <si>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</si>
  <si>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</si>
  <si>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</si>
  <si>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</si>
  <si>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</si>
  <si>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</si>
  <si>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</si>
  <si>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</si>
  <si>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</si>
  <si>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</si>
  <si>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</si>
  <si>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</si>
  <si>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</si>
  <si>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</si>
  <si>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</si>
  <si>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</si>
  <si>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</si>
  <si>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</si>
  <si>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</si>
  <si>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</si>
  <si>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</si>
  <si>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</si>
  <si>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</si>
  <si>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</si>
  <si>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</si>
  <si>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</si>
  <si>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</si>
  <si>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</si>
  <si>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</si>
  <si>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</si>
  <si>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</si>
  <si>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</si>
  <si>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</si>
  <si>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</si>
  <si>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</si>
  <si>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</si>
  <si>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</si>
  <si>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</si>
  <si>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</si>
  <si>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</si>
  <si>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</si>
  <si>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</si>
  <si>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</si>
  <si>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</si>
  <si>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</si>
  <si>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</si>
  <si>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</si>
  <si>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</si>
  <si>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</si>
  <si>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</si>
  <si>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</si>
  <si>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</si>
  <si>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</si>
  <si>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</si>
  <si>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</si>
  <si>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</si>
  <si>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</si>
  <si>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</si>
  <si>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</si>
  <si>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</si>
  <si>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</si>
  <si>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</si>
  <si>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</si>
  <si>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</si>
  <si>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</si>
  <si>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</si>
  <si>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</si>
  <si>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</si>
  <si>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</si>
  <si>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</si>
  <si>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</si>
  <si>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</si>
  <si>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</si>
  <si>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</si>
  <si>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</si>
  <si>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</si>
  <si>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</si>
  <si>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</si>
  <si>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</si>
  <si>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</si>
  <si>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</si>
  <si>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</si>
  <si>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</si>
  <si>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</si>
  <si>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</si>
  <si>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</si>
  <si>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</si>
  <si>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</si>
  <si>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</si>
  <si>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</si>
  <si>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</si>
  <si>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</si>
  <si>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</si>
  <si>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</si>
  <si>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</si>
  <si>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</si>
  <si>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</si>
  <si>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</si>
  <si>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</si>
  <si>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</si>
  <si>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</si>
  <si>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</si>
  <si>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</si>
  <si>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</si>
  <si>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</si>
  <si>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Modélisation de la table t_collection, ajout des tables associatives : t_belong, t_trade, t_orderCard, t_contain. Attribution le rôle de contrôle de la transaction au champ ordStatus de la table t_order qui pourra varier de "En cours" à "Terminée".</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</si>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</sst>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abSelected="1" topLeftCell="A241" zoomScaleNormal="100" zoomScaleSheetLayoutView="98" zoomScalePageLayoutView="70" workbookViewId="0">
      <selection activeCell="D260" sqref="D260"/>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zoomScaleNormal="100" zoomScaleSheetLayoutView="98" workbookViewId="0">
      <pane ySplit="1" topLeftCell="A254" activePane="bottomLeft" state="frozen"/>
      <selection pane="bottomLeft" activeCell="D262" sqref="D261:D262"/>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x14ac:dyDescent="0.3">
      <c r="A244" s="48"/>
      <c r="B244" s="49"/>
      <c r="C244" s="152" t="str">
        <f xml:space="preserve"> IF(B244="","",setValueToTime(B244))</f>
        <v/>
      </c>
      <c r="D244" s="50"/>
      <c r="E244" s="229"/>
      <c r="F244" s="230"/>
      <c r="G244" s="51"/>
    </row>
    <row r="245" spans="1:7" s="52" customFormat="1" x14ac:dyDescent="0.3">
      <c r="A245" s="53"/>
      <c r="B245" s="54"/>
      <c r="C245" s="153" t="str">
        <f t="shared" ref="C245:C251" si="20" xml:space="preserve"> IF(B245="","",setValueToTime(B245))</f>
        <v/>
      </c>
      <c r="D245" s="55"/>
      <c r="E245" s="221"/>
      <c r="F245" s="222"/>
      <c r="G245" s="51"/>
    </row>
    <row r="246" spans="1:7" s="52" customFormat="1" x14ac:dyDescent="0.3">
      <c r="A246" s="53"/>
      <c r="B246" s="54"/>
      <c r="C246" s="153" t="str">
        <f t="shared" si="20"/>
        <v/>
      </c>
      <c r="D246" s="55"/>
      <c r="E246" s="221"/>
      <c r="F246" s="222"/>
      <c r="G246" s="51"/>
    </row>
    <row r="247" spans="1:7" s="52" customFormat="1" x14ac:dyDescent="0.3">
      <c r="A247" s="53"/>
      <c r="B247" s="54"/>
      <c r="C247" s="153" t="str">
        <f t="shared" si="20"/>
        <v/>
      </c>
      <c r="D247" s="55"/>
      <c r="E247" s="221"/>
      <c r="F247" s="222"/>
      <c r="G247" s="51"/>
    </row>
    <row r="248" spans="1:7" s="52" customFormat="1" x14ac:dyDescent="0.3">
      <c r="A248" s="54"/>
      <c r="B248" s="54"/>
      <c r="C248" s="154" t="str">
        <f t="shared" si="20"/>
        <v/>
      </c>
      <c r="D248" s="55"/>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62" t="s">
        <v>26</v>
      </c>
      <c r="B252" s="83">
        <f>SUM(B244:B251)</f>
        <v>0</v>
      </c>
      <c r="C252" s="162" t="str">
        <f xml:space="preserve"> setValueToTime(B252)</f>
        <v>0h</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17</v>
      </c>
      <c r="C256" s="152" t="str">
        <f xml:space="preserve"> IF(B256="","",setValueToTime(B256))</f>
        <v>1h25min</v>
      </c>
      <c r="D256" s="50" t="s">
        <v>201</v>
      </c>
      <c r="E256" s="229"/>
      <c r="F256" s="230"/>
      <c r="G256" s="51"/>
    </row>
    <row r="257" spans="1:7" s="52" customFormat="1" ht="27" x14ac:dyDescent="0.3">
      <c r="A257" s="53" t="s">
        <v>14</v>
      </c>
      <c r="B257" s="54">
        <v>1</v>
      </c>
      <c r="C257" s="153" t="str">
        <f t="shared" ref="C257:C263" si="21" xml:space="preserve"> IF(B257="","",setValueToTime(B257))</f>
        <v>0h5min</v>
      </c>
      <c r="D257" s="55" t="s">
        <v>198</v>
      </c>
      <c r="E257" s="221"/>
      <c r="F257" s="222"/>
      <c r="G257" s="51"/>
    </row>
    <row r="258" spans="1:7" s="52" customFormat="1" x14ac:dyDescent="0.3">
      <c r="A258" s="53"/>
      <c r="B258" s="54"/>
      <c r="C258" s="153" t="str">
        <f t="shared" si="21"/>
        <v/>
      </c>
      <c r="D258" s="55"/>
      <c r="E258" s="221"/>
      <c r="F258" s="222"/>
      <c r="G258" s="51"/>
    </row>
    <row r="259" spans="1:7" s="52" customFormat="1" x14ac:dyDescent="0.3">
      <c r="A259" s="53"/>
      <c r="B259" s="54"/>
      <c r="C259" s="153" t="str">
        <f t="shared" si="21"/>
        <v/>
      </c>
      <c r="D259" s="55"/>
      <c r="E259" s="221"/>
      <c r="F259" s="222"/>
      <c r="G259" s="51"/>
    </row>
    <row r="260" spans="1:7" s="52" customFormat="1" x14ac:dyDescent="0.3">
      <c r="A260" s="54"/>
      <c r="B260" s="54"/>
      <c r="C260" s="154" t="str">
        <f t="shared" si="21"/>
        <v/>
      </c>
      <c r="D260" s="55"/>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62" t="s">
        <v>26</v>
      </c>
      <c r="B264" s="83">
        <f>SUM(B256:B263)</f>
        <v>18</v>
      </c>
      <c r="C264" s="162" t="str">
        <f xml:space="preserve"> setValueToTime(B264)</f>
        <v>1h30min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195</v>
      </c>
      <c r="E268" s="229" t="s">
        <v>196</v>
      </c>
      <c r="F268" s="230"/>
      <c r="G268" s="51"/>
    </row>
    <row r="269" spans="1:7" s="52" customFormat="1" x14ac:dyDescent="0.3">
      <c r="A269" s="53" t="s">
        <v>112</v>
      </c>
      <c r="B269" s="54">
        <v>18</v>
      </c>
      <c r="C269" s="153" t="str">
        <f t="shared" ref="C269:C275" si="22" xml:space="preserve"> IF(B269="","",setValueToTime(B269))</f>
        <v>1h30min</v>
      </c>
      <c r="D269" s="55" t="s">
        <v>199</v>
      </c>
      <c r="E269" s="221"/>
      <c r="F269" s="222"/>
      <c r="G269" s="51"/>
    </row>
    <row r="270" spans="1:7" s="52" customFormat="1" x14ac:dyDescent="0.3">
      <c r="A270" s="53" t="s">
        <v>13</v>
      </c>
      <c r="B270" s="54">
        <v>6</v>
      </c>
      <c r="C270" s="153" t="str">
        <f t="shared" si="22"/>
        <v>0h30min</v>
      </c>
      <c r="D270" s="55" t="s">
        <v>200</v>
      </c>
      <c r="E270" s="221"/>
      <c r="F270" s="222"/>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197</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1"/>
      <c r="F282" s="222"/>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21"/>
      <c r="F293" s="222"/>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1"/>
      <c r="F306" s="222"/>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2023-05-12T10:00:45Z</cp:lastPrinted>
  <dcterms:created xsi:type="dcterms:W3CDTF">1996-10-21T11:03:58Z</dcterms:created>
  <dcterms:modified xsi:type="dcterms:W3CDTF">2023-05-16T13:26:48Z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