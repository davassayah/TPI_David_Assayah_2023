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24511749-30DC-4A14-B8B3-6E011537F3A0}"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B192" i="12"/>
  <c r="B204" i="12"/>
  <c r="B216" i="12"/>
  <c r="C215" i="12"/>
  <c r="C214" i="12"/>
  <c r="C213" i="12"/>
  <c r="C212"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11" i="12"/>
  <c r="C210" i="12"/>
  <c r="C209" i="12"/>
  <c r="C216" i="12"/>
  <c r="C208" i="12"/>
  <c r="C196" i="12"/>
  <c r="C199" i="12"/>
  <c r="C198" i="12"/>
  <c r="C200" i="12"/>
  <c r="C197" i="12"/>
  <c r="C203" i="12"/>
  <c r="C202" i="12"/>
  <c r="C204" i="12"/>
  <c r="C201" i="12"/>
  <c r="C184" i="12"/>
  <c r="C185" i="12"/>
  <c r="C187" i="12"/>
  <c r="C186" i="12"/>
  <c r="C188" i="12"/>
  <c r="C191" i="12"/>
  <c r="C190" i="12"/>
  <c r="C189" i="12"/>
  <c r="C192" i="12"/>
  <c r="C172" i="12"/>
  <c r="C173" i="12"/>
  <c r="C174" i="12"/>
  <c r="C176" i="12"/>
  <c r="C175" i="12"/>
  <c r="C177" i="12"/>
  <c r="C178" i="12"/>
  <c r="C179" i="12"/>
  <c r="C180"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<sst xmlns="http://schemas.openxmlformats.org/spreadsheetml/2006/main" count="1366" uniqueCount="256">
  <si>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</si>
  <si>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</si>
  <si>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</si>
  <si>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</si>
  <si>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</si>
  <si>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</si>
  <si>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</si>
  <si>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</si>
  <si>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</si>
  <si>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</si>
  <si>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</si>
  <si>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</si>
  <si>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</si>
  <si>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</si>
  <si>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</si>
  <si>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</si>
  <si>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</si>
  <si>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</si>
  <si>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</si>
  <si>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</si>
  <si>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</si>
  <si>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</si>
  <si>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</si>
  <si>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</si>
  <si>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</si>
  <si>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</si>
  <si>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</si>
  <si>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</si>
  <si>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</si>
  <si>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</si>
  <si>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</si>
  <si>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</si>
  <si>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</si>
  <si>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</si>
  <si>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</si>
  <si>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</si>
  <si>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</si>
  <si>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</si>
  <si>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</si>
  <si>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</si>
  <si>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</si>
  <si>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</si>
  <si>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</si>
  <si>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</si>
  <si>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</si>
  <si>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</si>
  <si>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</si>
  <si>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</si>
  <si>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</si>
  <si>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</si>
  <si>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</si>
  <si>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</si>
  <si>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</si>
  <si>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</si>
  <si>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</si>
  <si>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</si>
  <si>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</si>
  <si>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</si>
  <si>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</si>
  <si>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</si>
  <si>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</si>
  <si>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</si>
  <si>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</si>
  <si>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</si>
  <si>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</si>
  <si>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</si>
  <si>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</si>
  <si>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</si>
  <si>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</si>
  <si>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</si>
  <si>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</si>
  <si>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</si>
  <si>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</si>
  <si>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</si>
  <si>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</si>
  <si>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</si>
  <si>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</si>
  <si>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</si>
  <si>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</si>
  <si>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</si>
  <si>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</si>
  <si>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</si>
  <si>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</si>
  <si>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</si>
  <si>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</si>
  <si>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</si>
  <si>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</si>
  <si>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</si>
  <si>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</si>
  <si>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</si>
  <si>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</si>
  <si>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</si>
  <si>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</si>
  <si>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</si>
  <si>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</si>
  <si>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</si>
  <si>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</si>
  <si>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</si>
  <si>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</si>
  <si>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</si>
  <si>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</si>
  <si>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</si>
  <si>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</si>
  <si>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</si>
  <si>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</si>
  <si>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</si>
  <si>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</si>
  <si>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</si>
  <si>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</si>
  <si>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</si>
  <si>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</si>
  <si>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</si>
  <si>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</si>
  <si>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</si>
  <si>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</si>
  <si>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</si>
  <si>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</si>
  <si>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</si>
  <si>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</si>
  <si>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</si>
  <si>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</si>
  <si>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</si>
  <si>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</si>
  <si>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</si>
  <si>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</si>
  <si>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</si>
  <si>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</si>
  <si>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</si>
  <si>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</si>
  <si>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</si>
  <si>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</si>
  <si>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</si>
  <si>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</si>
  <si>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</si>
  <si>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</si>
  <si>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</si>
  <si>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</si>
  <si>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</si>
  <si>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</si>
  <si>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</si>
  <si>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</si>
  <si>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</si>
  <si>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</si>
  <si>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</si>
  <si>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</si>
  <si>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</si>
  <si>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</si>
  <si>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</si>
  <si>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</si>
  <si>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</si>
  <si>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</si>
  <si>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</si>
  <si>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</si>
  <si>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</si>
  <si>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</si>
  <si>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</si>
  <si>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</si>
  <si>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</si>
  <si>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</si>
  <si>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</si>
  <si>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</si>
  <si>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</si>
  <si>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</si>
  <si>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</si>
  <si>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</si>
  <si>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</si>
  <si>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</si>
  <si>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</si>
  <si>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</si>
  <si>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</si>
  <si>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</si>
  <si>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</si>
  <si>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</si>
  <si>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</si>
  <si>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</si>
  <si>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</si>
  <si>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</si>
  <si>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</si>
  <si>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</si>
  <si>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</si>
  <si>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</si>
  <si>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</si>
  <si>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</si>
  <si>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</si>
  <si>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</si>
  <si>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</si>
  <si>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</si>
  <si>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</si>
  <si>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</si>
  <si>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</si>
  <si>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</si>
  <si>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</si>
  <si>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</si>
  <si>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</si>
  <si>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</si>
  <si>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</si>
  <si>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</si>
  <si>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</si>
  <si>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</si>
  <si>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</si>
  <si>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</si>
  <si>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</si>
  <si>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</si>
  <si>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</si>
  <si>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</si>
  <si>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</si>
  <si>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</si>
  <si>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</si>
  <si>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</si>
  <si>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</si>
  <si>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</si>
  <si>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</si>
  <si>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</si>
  <si>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</si>
  <si>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</si>
  <si>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</si>
  <si>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</si>
  <si>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</si>
  <si>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</si>
  <si>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</si>
  <si>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</si>
  <si>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</si>
  <si>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</si>
  <si>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</si>
  <si>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</si>
  <si>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</si>
  <si>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</si>
  <si>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</si>
  <si>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</si>
  <si>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</si>
  <si>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</si>
  <si>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</si>
  <si>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</si>
  <si>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</si>
  <si>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</si>
  <si>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</si>
  <si>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</si>
  <si>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</si>
  <si>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</si>
  <si>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</si>
  <si>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</si>
  <si>
    <t>Réalisation d'une requête permettant de créer un utilisateur. Adaptation du code createAccount.php en conséquence.</t>
  </si>
  <si>
    <t>Demande d'aide à un enseignant concernant un conflit sur Github</t>
  </si>
  <si>
    <t>Création d'une requête permettant d'afficher les informations d'un utilisateur. Adaptation du code de la page userProfile.php en conséquence.</t>
  </si>
  <si>
    <t>Réalisation d'une requête permettant la connexion sécurisée de l'utilisateur et adaptation du code de la page header.php en conséquence.</t>
  </si>
  <si>
    <t>Implémentation du code permettant de connecter l'application à la base de données grâce à une seule instance via le pattern Singleton</t>
  </si>
  <si>
    <t>Implémentation du code permettant la gestion de la session de l'utilisateur</t>
  </si>
  <si>
    <t>Bilan de la séquence : Toutes les principales requêtes sont implémentées. J'ai commencé à implémenter le code permettant de gérer la session et l'authentification. Il ne reste plus qu'à tester que le tout fonctionne bien à la prochaine séquence.</t>
  </si>
  <si>
    <t>Réalisation d'une requête permettant de rennomer le fichier jpg envoyé lors de l'ajout d'une carte.</t>
  </si>
  <si>
    <t>Implémentation du code permettant d'afficher une page d'erreur 403 dans le cas où un utilisateur non connecté ou ne disposant pas des droits tente d'accéder une page via l'url</t>
  </si>
  <si>
    <t>Implémentation et adaptation du code permettant d'afficher des éléments et actions différents en fonction du rôle de l'utilisateur</t>
  </si>
  <si>
    <t>Implémentation d'un tableau permettant d'effectuer la validation des champs pour la création d'un utilisateur, l'ajout d'une carte et la modification d'une carte. Implémentation et adaptation du code en conséquence. Les champs sont tous obligatoires et n'ont pas d'autres critères de validation dans un premier temps.</t>
  </si>
  <si>
    <t>Modification de l'attribut useCredits dans la base de données et de la requête SQL, ajout d'une valeur par défaut à 100 crédits dans un but de test étant donné qu'aucune fonctionnalité permettant de recharger les crédits n'est prévue.</t>
  </si>
  <si>
    <t>Ajout du code sur la page index.php empêchant un utilisateur non connecté ou ne possédant pas de compte d'accéder au contenu du site en l'invitant à créer un compte ou à se connecter</t>
  </si>
  <si>
    <t>Test des requêtes SQL et de la validation des champs implémentés</t>
  </si>
  <si>
    <t>Bilan de la séquence : Le rendez-vous avec M.Bertino était initialement prévu durant cette séquence. J'ai pu bien avancer et rattraper mon retard. Gloablement je constate que l'ordre des tâches planifiées initialement a dû être remanié lors de la réalisation pour correspondre à la réalité du travail qui doit être effectué. J'ai décidé d'attribuer une valeur de 100 crédits par défaut à chaque utilisateur puisque aucune fonctionnalité permettant de recharger les crédits d'un utilisateur n'est prévue.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</si>
</sst>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mockflow.com/"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www.mysql.com/products/workbench/" TargetMode="External"/><Relationship Id="rId10" Type="http://schemas.openxmlformats.org/officeDocument/2006/relationships/image" Target="../media/image5.emf"/><Relationship Id="rId4" Type="http://schemas.openxmlformats.org/officeDocument/2006/relationships/hyperlink" Target="https://www.databasestar.com/mysql-enum/"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4" t="s">
        <v>28</v>
      </c>
      <c r="D1" s="194"/>
      <c r="E1" s="19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195"/>
      <c r="D7" s="195"/>
      <c r="E7" s="19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199" t="str">
        <f>E96</f>
        <v>89h</v>
      </c>
      <c r="H9" s="199"/>
      <c r="I9" s="199"/>
      <c r="J9" s="199"/>
      <c r="K9" s="199"/>
      <c r="L9" s="199"/>
      <c r="M9" s="199"/>
      <c r="N9" s="199"/>
      <c r="O9" s="199"/>
      <c r="P9" s="199"/>
      <c r="Q9" s="199"/>
      <c r="R9" s="199"/>
      <c r="S9" s="199"/>
      <c r="T9" s="199"/>
      <c r="U9" s="199"/>
      <c r="V9" s="119"/>
      <c r="W9" s="198" t="s">
        <v>20</v>
      </c>
      <c r="X9" s="198"/>
      <c r="Y9" s="198"/>
      <c r="Z9" s="198"/>
      <c r="AA9" s="198"/>
      <c r="AB9" s="198"/>
      <c r="AC9" s="198"/>
      <c r="AD9" s="198"/>
      <c r="AE9" s="198"/>
      <c r="AF9" s="198"/>
      <c r="AG9" s="198"/>
      <c r="AH9" s="199" t="str">
        <f>E98</f>
        <v>7h10min</v>
      </c>
      <c r="AI9" s="199"/>
      <c r="AJ9" s="199"/>
      <c r="AK9" s="199"/>
      <c r="AL9" s="199"/>
      <c r="AM9" s="199"/>
      <c r="AN9" s="199"/>
      <c r="AO9" s="199"/>
      <c r="AP9" s="199"/>
      <c r="AQ9" s="199"/>
      <c r="AR9" s="199"/>
      <c r="AS9" s="199"/>
      <c r="AT9" s="199"/>
      <c r="AU9" s="199"/>
      <c r="AV9" s="199"/>
      <c r="AW9" s="19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92"/>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200"/>
      <c r="BJO10" s="200"/>
      <c r="BJP10" s="200"/>
      <c r="BJQ10" s="200"/>
      <c r="BJR10" s="200"/>
      <c r="BJS10" s="200"/>
      <c r="BJT10" s="200"/>
      <c r="BJU10" s="200"/>
      <c r="BJV10" s="200"/>
      <c r="BJW10" s="200"/>
      <c r="BJX10" s="200"/>
      <c r="BJY10" s="200"/>
      <c r="BJZ10" s="200"/>
      <c r="BKA10" s="200"/>
      <c r="BKB10" s="200"/>
      <c r="BKC10" s="200"/>
      <c r="BKD10" s="200"/>
      <c r="BKE10" s="200"/>
      <c r="BKF10" s="200"/>
      <c r="BKG10" s="200"/>
      <c r="BKH10" s="200"/>
      <c r="BKI10" s="200"/>
      <c r="BKJ10" s="200"/>
      <c r="BKK10" s="200"/>
      <c r="BKL10" s="200"/>
      <c r="BKM10" s="200"/>
      <c r="BKN10" s="200"/>
      <c r="BKO10" s="200"/>
      <c r="BKP10" s="200"/>
      <c r="BKQ10" s="200"/>
      <c r="BKR10" s="200"/>
      <c r="BKS10" s="200"/>
      <c r="BKT10" s="200"/>
      <c r="BKU10" s="200"/>
      <c r="BKV10" s="200"/>
      <c r="BKW10" s="200"/>
      <c r="BKX10" s="200"/>
      <c r="BKY10" s="200"/>
      <c r="BKZ10" s="200"/>
      <c r="BLA10" s="200"/>
      <c r="BLB10" s="200"/>
      <c r="BLC10" s="200"/>
      <c r="BLD10" s="200"/>
      <c r="BLE10" s="200"/>
      <c r="BLF10" s="200"/>
      <c r="BLG10" s="200"/>
      <c r="BLH10" s="200"/>
      <c r="BLI10" s="200"/>
      <c r="BLJ10" s="200"/>
      <c r="BLK10" s="200"/>
      <c r="BLL10" s="200"/>
      <c r="BLM10" s="200"/>
      <c r="BLN10" s="200"/>
      <c r="BLO10" s="200"/>
      <c r="BLP10" s="200"/>
      <c r="BLQ10" s="200"/>
      <c r="BLR10" s="200"/>
      <c r="BLS10" s="200"/>
      <c r="BLT10" s="200"/>
      <c r="BLU10" s="200"/>
      <c r="BLV10" s="90"/>
    </row>
    <row r="11" spans="1:1686" ht="20.100000000000001" customHeight="1" x14ac:dyDescent="0.25">
      <c r="B11" s="96"/>
      <c r="C11" s="192"/>
      <c r="D11" s="192"/>
      <c r="E11" s="192"/>
      <c r="F11" s="197" t="s">
        <v>41</v>
      </c>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t="s">
        <v>62</v>
      </c>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219" t="s">
        <v>62</v>
      </c>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t="s">
        <v>63</v>
      </c>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t="s">
        <v>63</v>
      </c>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t="s">
        <v>64</v>
      </c>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t="s">
        <v>64</v>
      </c>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t="s">
        <v>65</v>
      </c>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t="s">
        <v>66</v>
      </c>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t="s">
        <v>66</v>
      </c>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t="s">
        <v>67</v>
      </c>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t="s">
        <v>67</v>
      </c>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t="s">
        <v>68</v>
      </c>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t="s">
        <v>69</v>
      </c>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t="s">
        <v>69</v>
      </c>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t="s">
        <v>70</v>
      </c>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t="s">
        <v>70</v>
      </c>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t="s">
        <v>71</v>
      </c>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t="s">
        <v>71</v>
      </c>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t="s">
        <v>72</v>
      </c>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t="s">
        <v>73</v>
      </c>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t="s">
        <v>73</v>
      </c>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t="s">
        <v>74</v>
      </c>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t="s">
        <v>74</v>
      </c>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t="s">
        <v>75</v>
      </c>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t="s">
        <v>75</v>
      </c>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t="s">
        <v>76</v>
      </c>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t="s">
        <v>76</v>
      </c>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90"/>
    </row>
    <row r="12" spans="1:1686" ht="15.75" customHeight="1" thickBot="1" x14ac:dyDescent="0.3">
      <c r="B12" s="97"/>
      <c r="C12" s="193"/>
      <c r="D12" s="193"/>
      <c r="E12" s="193"/>
      <c r="F12" s="196" t="s">
        <v>61</v>
      </c>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t="s">
        <v>60</v>
      </c>
      <c r="BO12" s="196"/>
      <c r="BP12" s="196"/>
      <c r="BQ12" s="196"/>
      <c r="BR12" s="196"/>
      <c r="BS12" s="196"/>
      <c r="BT12" s="196"/>
      <c r="BU12" s="196"/>
      <c r="BV12" s="196"/>
      <c r="BW12" s="196"/>
      <c r="BX12" s="196"/>
      <c r="BY12" s="196"/>
      <c r="BZ12" s="196"/>
      <c r="CA12" s="196"/>
      <c r="CB12" s="196"/>
      <c r="CC12" s="196"/>
      <c r="CD12" s="196"/>
      <c r="CE12" s="196"/>
      <c r="CF12" s="196"/>
      <c r="CG12" s="196"/>
      <c r="CH12" s="196"/>
      <c r="CI12" s="196"/>
      <c r="CJ12" s="196"/>
      <c r="CK12" s="196"/>
      <c r="CL12" s="196"/>
      <c r="CM12" s="196"/>
      <c r="CN12" s="196"/>
      <c r="CO12" s="196"/>
      <c r="CP12" s="196"/>
      <c r="CQ12" s="196"/>
      <c r="CR12" s="196"/>
      <c r="CS12" s="196"/>
      <c r="CT12" s="196"/>
      <c r="CU12" s="196"/>
      <c r="CV12" s="196"/>
      <c r="CW12" s="196"/>
      <c r="CX12" s="196"/>
      <c r="CY12" s="196"/>
      <c r="CZ12" s="196"/>
      <c r="DA12" s="196"/>
      <c r="DB12" s="196"/>
      <c r="DC12" s="196"/>
      <c r="DD12" s="196"/>
      <c r="DE12" s="196"/>
      <c r="DF12" s="196"/>
      <c r="DG12" s="196"/>
      <c r="DH12" s="196"/>
      <c r="DI12" s="196"/>
      <c r="DJ12" s="196"/>
      <c r="DK12" s="196"/>
      <c r="DL12" s="196"/>
      <c r="DM12" s="196"/>
      <c r="DN12" s="196"/>
      <c r="DO12" s="196"/>
      <c r="DP12" s="196"/>
      <c r="DQ12" s="196"/>
      <c r="DR12" s="196"/>
      <c r="DS12" s="196"/>
      <c r="DT12" s="196"/>
      <c r="DU12" s="196"/>
      <c r="DV12" s="220" t="s">
        <v>61</v>
      </c>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20" t="s">
        <v>60</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61</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60</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61</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61</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60</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61</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60</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61</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61</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60</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61</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60</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61</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60</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61</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61</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60</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61</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60</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61</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60</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61</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220" t="s">
        <v>60</v>
      </c>
      <c r="BHG12" s="220"/>
      <c r="BHH12" s="220"/>
      <c r="BHI12" s="220"/>
      <c r="BHJ12" s="220"/>
      <c r="BHK12" s="220"/>
      <c r="BHL12" s="220"/>
      <c r="BHM12" s="220"/>
      <c r="BHN12" s="220"/>
      <c r="BHO12" s="220"/>
      <c r="BHP12" s="220"/>
      <c r="BHQ12" s="220"/>
      <c r="BHR12" s="220"/>
      <c r="BHS12" s="220"/>
      <c r="BHT12" s="220"/>
      <c r="BHU12" s="220"/>
      <c r="BHV12" s="220"/>
      <c r="BHW12" s="220"/>
      <c r="BHX12" s="220"/>
      <c r="BHY12" s="220"/>
      <c r="BHZ12" s="220"/>
      <c r="BIA12" s="220"/>
      <c r="BIB12" s="220"/>
      <c r="BIC12" s="220"/>
      <c r="BID12" s="220"/>
      <c r="BIE12" s="220"/>
      <c r="BIF12" s="220"/>
      <c r="BIG12" s="220"/>
      <c r="BIH12" s="220"/>
      <c r="BII12" s="220"/>
      <c r="BIJ12" s="220"/>
      <c r="BIK12" s="220"/>
      <c r="BIL12" s="220"/>
      <c r="BIM12" s="220"/>
      <c r="BIN12" s="220"/>
      <c r="BIO12" s="220"/>
      <c r="BIP12" s="220"/>
      <c r="BIQ12" s="220"/>
      <c r="BIR12" s="220"/>
      <c r="BIS12" s="220"/>
      <c r="BIT12" s="220"/>
      <c r="BIU12" s="220"/>
      <c r="BIV12" s="220"/>
      <c r="BIW12" s="220"/>
      <c r="BIX12" s="220"/>
      <c r="BIY12" s="220"/>
      <c r="BIZ12" s="220"/>
      <c r="BJA12" s="220"/>
      <c r="BJB12" s="220"/>
      <c r="BJC12" s="220"/>
      <c r="BJD12" s="220"/>
      <c r="BJE12" s="220"/>
      <c r="BJF12" s="220"/>
      <c r="BJG12" s="220"/>
      <c r="BJH12" s="220"/>
      <c r="BJI12" s="220"/>
      <c r="BJJ12" s="220"/>
      <c r="BJK12" s="220"/>
      <c r="BJL12" s="220"/>
      <c r="BJM12" s="220"/>
      <c r="BJN12" s="220" t="s">
        <v>61</v>
      </c>
      <c r="BJO12" s="220"/>
      <c r="BJP12" s="220"/>
      <c r="BJQ12" s="220"/>
      <c r="BJR12" s="220"/>
      <c r="BJS12" s="220"/>
      <c r="BJT12" s="220"/>
      <c r="BJU12" s="220"/>
      <c r="BJV12" s="220"/>
      <c r="BJW12" s="220"/>
      <c r="BJX12" s="220"/>
      <c r="BJY12" s="220"/>
      <c r="BJZ12" s="220"/>
      <c r="BKA12" s="220"/>
      <c r="BKB12" s="220"/>
      <c r="BKC12" s="220"/>
      <c r="BKD12" s="220"/>
      <c r="BKE12" s="220"/>
      <c r="BKF12" s="220"/>
      <c r="BKG12" s="220"/>
      <c r="BKH12" s="220"/>
      <c r="BKI12" s="220"/>
      <c r="BKJ12" s="220"/>
      <c r="BKK12" s="220"/>
      <c r="BKL12" s="220"/>
      <c r="BKM12" s="220"/>
      <c r="BKN12" s="220"/>
      <c r="BKO12" s="220"/>
      <c r="BKP12" s="220"/>
      <c r="BKQ12" s="220"/>
      <c r="BKR12" s="220"/>
      <c r="BKS12" s="220"/>
      <c r="BKT12" s="220"/>
      <c r="BKU12" s="220"/>
      <c r="BKV12" s="220"/>
      <c r="BKW12" s="220"/>
      <c r="BKX12" s="220"/>
      <c r="BKY12" s="220"/>
      <c r="BKZ12" s="220"/>
      <c r="BLA12" s="220"/>
      <c r="BLB12" s="220"/>
      <c r="BLC12" s="220"/>
      <c r="BLD12" s="220"/>
      <c r="BLE12" s="220"/>
      <c r="BLF12" s="220"/>
      <c r="BLG12" s="220"/>
      <c r="BLH12" s="220"/>
      <c r="BLI12" s="220"/>
      <c r="BLJ12" s="220"/>
      <c r="BLK12" s="220"/>
      <c r="BLL12" s="220"/>
      <c r="BLM12" s="220"/>
      <c r="BLN12" s="220"/>
      <c r="BLO12" s="220"/>
      <c r="BLP12" s="220"/>
      <c r="BLQ12" s="220"/>
      <c r="BLR12" s="220"/>
      <c r="BLS12" s="220"/>
      <c r="BLT12" s="220"/>
      <c r="BLU12" s="220"/>
      <c r="BLV12" s="90"/>
    </row>
    <row r="13" spans="1:1686" ht="42.75" customHeight="1" thickBot="1" x14ac:dyDescent="0.3">
      <c r="B13" s="96"/>
      <c r="C13" s="212" t="s">
        <v>3</v>
      </c>
      <c r="D13" s="144"/>
      <c r="E13" s="214" t="s">
        <v>38</v>
      </c>
      <c r="F13" s="216" t="s">
        <v>4</v>
      </c>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8"/>
      <c r="BN13" s="216" t="s">
        <v>25</v>
      </c>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8"/>
      <c r="DV13" s="216" t="s">
        <v>16</v>
      </c>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8"/>
      <c r="GD13" s="216" t="s">
        <v>53</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52</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51</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50</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49</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48</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47</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46</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45</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44</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43</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42</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40</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89</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88</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87</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86</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85</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84</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83</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82</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81</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80</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79</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c r="BJN13" s="216" t="s">
        <v>78</v>
      </c>
      <c r="BJO13" s="217"/>
      <c r="BJP13" s="217"/>
      <c r="BJQ13" s="217"/>
      <c r="BJR13" s="217"/>
      <c r="BJS13" s="217"/>
      <c r="BJT13" s="217"/>
      <c r="BJU13" s="217"/>
      <c r="BJV13" s="217"/>
      <c r="BJW13" s="217"/>
      <c r="BJX13" s="217"/>
      <c r="BJY13" s="217"/>
      <c r="BJZ13" s="217"/>
      <c r="BKA13" s="217"/>
      <c r="BKB13" s="217"/>
      <c r="BKC13" s="217"/>
      <c r="BKD13" s="217"/>
      <c r="BKE13" s="217"/>
      <c r="BKF13" s="217"/>
      <c r="BKG13" s="217"/>
      <c r="BKH13" s="217"/>
      <c r="BKI13" s="217"/>
      <c r="BKJ13" s="217"/>
      <c r="BKK13" s="217"/>
      <c r="BKL13" s="217"/>
      <c r="BKM13" s="217"/>
      <c r="BKN13" s="217"/>
      <c r="BKO13" s="217"/>
      <c r="BKP13" s="217"/>
      <c r="BKQ13" s="217"/>
      <c r="BKR13" s="217"/>
      <c r="BKS13" s="217"/>
      <c r="BKT13" s="217"/>
      <c r="BKU13" s="217"/>
      <c r="BKV13" s="217"/>
      <c r="BKW13" s="217"/>
      <c r="BKX13" s="217"/>
      <c r="BKY13" s="217"/>
      <c r="BKZ13" s="217"/>
      <c r="BLA13" s="217"/>
      <c r="BLB13" s="217"/>
      <c r="BLC13" s="217"/>
      <c r="BLD13" s="217"/>
      <c r="BLE13" s="217"/>
      <c r="BLF13" s="217"/>
      <c r="BLG13" s="217"/>
      <c r="BLH13" s="217"/>
      <c r="BLI13" s="217"/>
      <c r="BLJ13" s="217"/>
      <c r="BLK13" s="217"/>
      <c r="BLL13" s="217"/>
      <c r="BLM13" s="217"/>
      <c r="BLN13" s="217"/>
      <c r="BLO13" s="217"/>
      <c r="BLP13" s="217"/>
      <c r="BLQ13" s="217"/>
      <c r="BLR13" s="217"/>
      <c r="BLS13" s="217"/>
      <c r="BLT13" s="217"/>
      <c r="BLU13" s="218"/>
      <c r="BLV13" s="90"/>
    </row>
    <row r="14" spans="1:1686" ht="12.75" customHeight="1" thickBot="1" x14ac:dyDescent="0.35">
      <c r="B14" s="96"/>
      <c r="C14" s="213"/>
      <c r="D14" s="145"/>
      <c r="E14" s="215"/>
      <c r="F14" s="103"/>
      <c r="G14" s="104"/>
      <c r="H14" s="104"/>
      <c r="I14" s="104"/>
      <c r="J14" s="202" t="s">
        <v>33</v>
      </c>
      <c r="K14" s="202"/>
      <c r="L14" s="202"/>
      <c r="M14" s="202"/>
      <c r="N14" s="104"/>
      <c r="O14" s="104"/>
      <c r="P14" s="203" t="s">
        <v>21</v>
      </c>
      <c r="Q14" s="203"/>
      <c r="R14" s="203"/>
      <c r="S14" s="203"/>
      <c r="T14" s="129"/>
      <c r="U14" s="129"/>
      <c r="V14" s="202" t="s">
        <v>34</v>
      </c>
      <c r="W14" s="202"/>
      <c r="X14" s="202"/>
      <c r="Y14" s="202"/>
      <c r="Z14" s="104"/>
      <c r="AA14" s="104"/>
      <c r="AB14" s="203" t="s">
        <v>22</v>
      </c>
      <c r="AC14" s="203"/>
      <c r="AD14" s="203"/>
      <c r="AE14" s="203"/>
      <c r="AF14" s="129"/>
      <c r="AG14" s="129"/>
      <c r="AH14" s="202" t="s">
        <v>35</v>
      </c>
      <c r="AI14" s="202"/>
      <c r="AJ14" s="202"/>
      <c r="AK14" s="202"/>
      <c r="AL14" s="104"/>
      <c r="AM14" s="104"/>
      <c r="AN14" s="203" t="s">
        <v>23</v>
      </c>
      <c r="AO14" s="203"/>
      <c r="AP14" s="203"/>
      <c r="AQ14" s="203"/>
      <c r="AR14" s="129"/>
      <c r="AS14" s="129"/>
      <c r="AT14" s="202" t="s">
        <v>36</v>
      </c>
      <c r="AU14" s="202"/>
      <c r="AV14" s="202"/>
      <c r="AW14" s="202"/>
      <c r="AX14" s="104"/>
      <c r="AY14" s="104"/>
      <c r="AZ14" s="203" t="s">
        <v>24</v>
      </c>
      <c r="BA14" s="203"/>
      <c r="BB14" s="203"/>
      <c r="BC14" s="203"/>
      <c r="BD14" s="129"/>
      <c r="BE14" s="129"/>
      <c r="BF14" s="202" t="s">
        <v>37</v>
      </c>
      <c r="BG14" s="202"/>
      <c r="BH14" s="202"/>
      <c r="BI14" s="202"/>
      <c r="BJ14" s="104"/>
      <c r="BK14" s="104"/>
      <c r="BL14" s="104"/>
      <c r="BM14" s="105"/>
      <c r="BN14" s="103"/>
      <c r="BO14" s="104"/>
      <c r="BP14" s="104"/>
      <c r="BQ14" s="104"/>
      <c r="BR14" s="202" t="s">
        <v>33</v>
      </c>
      <c r="BS14" s="202"/>
      <c r="BT14" s="202"/>
      <c r="BU14" s="202"/>
      <c r="BV14" s="104"/>
      <c r="BW14" s="104"/>
      <c r="BX14" s="203" t="s">
        <v>21</v>
      </c>
      <c r="BY14" s="203"/>
      <c r="BZ14" s="203"/>
      <c r="CA14" s="203"/>
      <c r="CB14" s="129"/>
      <c r="CC14" s="129"/>
      <c r="CD14" s="202" t="s">
        <v>34</v>
      </c>
      <c r="CE14" s="202"/>
      <c r="CF14" s="202"/>
      <c r="CG14" s="202"/>
      <c r="CH14" s="104"/>
      <c r="CI14" s="104"/>
      <c r="CJ14" s="203" t="s">
        <v>22</v>
      </c>
      <c r="CK14" s="203"/>
      <c r="CL14" s="203"/>
      <c r="CM14" s="203"/>
      <c r="CN14" s="129"/>
      <c r="CO14" s="129"/>
      <c r="CP14" s="202" t="s">
        <v>35</v>
      </c>
      <c r="CQ14" s="202"/>
      <c r="CR14" s="202"/>
      <c r="CS14" s="202"/>
      <c r="CT14" s="104"/>
      <c r="CU14" s="104"/>
      <c r="CV14" s="203" t="s">
        <v>23</v>
      </c>
      <c r="CW14" s="203"/>
      <c r="CX14" s="203"/>
      <c r="CY14" s="203"/>
      <c r="CZ14" s="129"/>
      <c r="DA14" s="129"/>
      <c r="DB14" s="202" t="s">
        <v>36</v>
      </c>
      <c r="DC14" s="202"/>
      <c r="DD14" s="202"/>
      <c r="DE14" s="202"/>
      <c r="DF14" s="104"/>
      <c r="DG14" s="104"/>
      <c r="DH14" s="203" t="s">
        <v>24</v>
      </c>
      <c r="DI14" s="203"/>
      <c r="DJ14" s="203"/>
      <c r="DK14" s="203"/>
      <c r="DL14" s="129"/>
      <c r="DM14" s="129"/>
      <c r="DN14" s="202" t="s">
        <v>37</v>
      </c>
      <c r="DO14" s="202"/>
      <c r="DP14" s="202"/>
      <c r="DQ14" s="202"/>
      <c r="DR14" s="104"/>
      <c r="DS14" s="104"/>
      <c r="DT14" s="104"/>
      <c r="DU14" s="105"/>
      <c r="DV14" s="103"/>
      <c r="DW14" s="104"/>
      <c r="DX14" s="104"/>
      <c r="DY14" s="104"/>
      <c r="DZ14" s="202" t="s">
        <v>33</v>
      </c>
      <c r="EA14" s="202"/>
      <c r="EB14" s="202"/>
      <c r="EC14" s="202"/>
      <c r="ED14" s="104"/>
      <c r="EE14" s="104"/>
      <c r="EF14" s="203" t="s">
        <v>21</v>
      </c>
      <c r="EG14" s="203"/>
      <c r="EH14" s="203"/>
      <c r="EI14" s="203"/>
      <c r="EJ14" s="129"/>
      <c r="EK14" s="129"/>
      <c r="EL14" s="202" t="s">
        <v>34</v>
      </c>
      <c r="EM14" s="202"/>
      <c r="EN14" s="202"/>
      <c r="EO14" s="202"/>
      <c r="EP14" s="104"/>
      <c r="EQ14" s="104"/>
      <c r="ER14" s="203" t="s">
        <v>22</v>
      </c>
      <c r="ES14" s="203"/>
      <c r="ET14" s="203"/>
      <c r="EU14" s="203"/>
      <c r="EV14" s="129"/>
      <c r="EW14" s="129"/>
      <c r="EX14" s="202" t="s">
        <v>35</v>
      </c>
      <c r="EY14" s="202"/>
      <c r="EZ14" s="202"/>
      <c r="FA14" s="202"/>
      <c r="FB14" s="104"/>
      <c r="FC14" s="104"/>
      <c r="FD14" s="203" t="s">
        <v>23</v>
      </c>
      <c r="FE14" s="203"/>
      <c r="FF14" s="203"/>
      <c r="FG14" s="203"/>
      <c r="FH14" s="129"/>
      <c r="FI14" s="129"/>
      <c r="FJ14" s="202" t="s">
        <v>36</v>
      </c>
      <c r="FK14" s="202"/>
      <c r="FL14" s="202"/>
      <c r="FM14" s="202"/>
      <c r="FN14" s="104"/>
      <c r="FO14" s="104"/>
      <c r="FP14" s="203" t="s">
        <v>24</v>
      </c>
      <c r="FQ14" s="203"/>
      <c r="FR14" s="203"/>
      <c r="FS14" s="203"/>
      <c r="FT14" s="129"/>
      <c r="FU14" s="129"/>
      <c r="FV14" s="202" t="s">
        <v>37</v>
      </c>
      <c r="FW14" s="202"/>
      <c r="FX14" s="202"/>
      <c r="FY14" s="202"/>
      <c r="FZ14" s="104"/>
      <c r="GA14" s="104"/>
      <c r="GB14" s="104"/>
      <c r="GC14" s="105"/>
      <c r="GD14" s="103"/>
      <c r="GE14" s="104"/>
      <c r="GF14" s="104"/>
      <c r="GG14" s="104"/>
      <c r="GH14" s="202" t="s">
        <v>33</v>
      </c>
      <c r="GI14" s="202"/>
      <c r="GJ14" s="202"/>
      <c r="GK14" s="202"/>
      <c r="GL14" s="104"/>
      <c r="GM14" s="104"/>
      <c r="GN14" s="203" t="s">
        <v>21</v>
      </c>
      <c r="GO14" s="203"/>
      <c r="GP14" s="203"/>
      <c r="GQ14" s="203"/>
      <c r="GR14" s="129"/>
      <c r="GS14" s="129"/>
      <c r="GT14" s="202" t="s">
        <v>34</v>
      </c>
      <c r="GU14" s="202"/>
      <c r="GV14" s="202"/>
      <c r="GW14" s="202"/>
      <c r="GX14" s="104"/>
      <c r="GY14" s="104"/>
      <c r="GZ14" s="203" t="s">
        <v>22</v>
      </c>
      <c r="HA14" s="203"/>
      <c r="HB14" s="203"/>
      <c r="HC14" s="203"/>
      <c r="HD14" s="129"/>
      <c r="HE14" s="129"/>
      <c r="HF14" s="202" t="s">
        <v>35</v>
      </c>
      <c r="HG14" s="202"/>
      <c r="HH14" s="202"/>
      <c r="HI14" s="202"/>
      <c r="HJ14" s="104"/>
      <c r="HK14" s="104"/>
      <c r="HL14" s="203" t="s">
        <v>23</v>
      </c>
      <c r="HM14" s="203"/>
      <c r="HN14" s="203"/>
      <c r="HO14" s="203"/>
      <c r="HP14" s="129"/>
      <c r="HQ14" s="129"/>
      <c r="HR14" s="202" t="s">
        <v>36</v>
      </c>
      <c r="HS14" s="202"/>
      <c r="HT14" s="202"/>
      <c r="HU14" s="202"/>
      <c r="HV14" s="104"/>
      <c r="HW14" s="104"/>
      <c r="HX14" s="203" t="s">
        <v>24</v>
      </c>
      <c r="HY14" s="203"/>
      <c r="HZ14" s="203"/>
      <c r="IA14" s="203"/>
      <c r="IB14" s="129"/>
      <c r="IC14" s="129"/>
      <c r="ID14" s="202" t="s">
        <v>37</v>
      </c>
      <c r="IE14" s="202"/>
      <c r="IF14" s="202"/>
      <c r="IG14" s="202"/>
      <c r="IH14" s="104"/>
      <c r="II14" s="104"/>
      <c r="IJ14" s="104"/>
      <c r="IK14" s="105"/>
      <c r="IL14" s="103"/>
      <c r="IM14" s="104"/>
      <c r="IN14" s="104"/>
      <c r="IO14" s="104"/>
      <c r="IP14" s="202" t="s">
        <v>33</v>
      </c>
      <c r="IQ14" s="202"/>
      <c r="IR14" s="202"/>
      <c r="IS14" s="202"/>
      <c r="IT14" s="104"/>
      <c r="IU14" s="104"/>
      <c r="IV14" s="203" t="s">
        <v>21</v>
      </c>
      <c r="IW14" s="203"/>
      <c r="IX14" s="203"/>
      <c r="IY14" s="203"/>
      <c r="IZ14" s="129"/>
      <c r="JA14" s="129"/>
      <c r="JB14" s="202" t="s">
        <v>34</v>
      </c>
      <c r="JC14" s="202"/>
      <c r="JD14" s="202"/>
      <c r="JE14" s="202"/>
      <c r="JF14" s="104"/>
      <c r="JG14" s="104"/>
      <c r="JH14" s="203" t="s">
        <v>22</v>
      </c>
      <c r="JI14" s="203"/>
      <c r="JJ14" s="203"/>
      <c r="JK14" s="203"/>
      <c r="JL14" s="129"/>
      <c r="JM14" s="129"/>
      <c r="JN14" s="202" t="s">
        <v>35</v>
      </c>
      <c r="JO14" s="202"/>
      <c r="JP14" s="202"/>
      <c r="JQ14" s="202"/>
      <c r="JR14" s="104"/>
      <c r="JS14" s="104"/>
      <c r="JT14" s="203" t="s">
        <v>23</v>
      </c>
      <c r="JU14" s="203"/>
      <c r="JV14" s="203"/>
      <c r="JW14" s="203"/>
      <c r="JX14" s="129"/>
      <c r="JY14" s="129"/>
      <c r="JZ14" s="202" t="s">
        <v>36</v>
      </c>
      <c r="KA14" s="202"/>
      <c r="KB14" s="202"/>
      <c r="KC14" s="202"/>
      <c r="KD14" s="104"/>
      <c r="KE14" s="104"/>
      <c r="KF14" s="203" t="s">
        <v>24</v>
      </c>
      <c r="KG14" s="203"/>
      <c r="KH14" s="203"/>
      <c r="KI14" s="203"/>
      <c r="KJ14" s="129"/>
      <c r="KK14" s="129"/>
      <c r="KL14" s="202" t="s">
        <v>37</v>
      </c>
      <c r="KM14" s="202"/>
      <c r="KN14" s="202"/>
      <c r="KO14" s="202"/>
      <c r="KP14" s="104"/>
      <c r="KQ14" s="104"/>
      <c r="KR14" s="104"/>
      <c r="KS14" s="105"/>
      <c r="KT14" s="103"/>
      <c r="KU14" s="104"/>
      <c r="KV14" s="104"/>
      <c r="KW14" s="104"/>
      <c r="KX14" s="202" t="s">
        <v>33</v>
      </c>
      <c r="KY14" s="202"/>
      <c r="KZ14" s="202"/>
      <c r="LA14" s="202"/>
      <c r="LB14" s="104"/>
      <c r="LC14" s="104"/>
      <c r="LD14" s="203" t="s">
        <v>21</v>
      </c>
      <c r="LE14" s="203"/>
      <c r="LF14" s="203"/>
      <c r="LG14" s="203"/>
      <c r="LH14" s="129"/>
      <c r="LI14" s="129"/>
      <c r="LJ14" s="202" t="s">
        <v>34</v>
      </c>
      <c r="LK14" s="202"/>
      <c r="LL14" s="202"/>
      <c r="LM14" s="202"/>
      <c r="LN14" s="104"/>
      <c r="LO14" s="104"/>
      <c r="LP14" s="203" t="s">
        <v>22</v>
      </c>
      <c r="LQ14" s="203"/>
      <c r="LR14" s="203"/>
      <c r="LS14" s="203"/>
      <c r="LT14" s="129"/>
      <c r="LU14" s="129"/>
      <c r="LV14" s="202" t="s">
        <v>35</v>
      </c>
      <c r="LW14" s="202"/>
      <c r="LX14" s="202"/>
      <c r="LY14" s="202"/>
      <c r="LZ14" s="104"/>
      <c r="MA14" s="104"/>
      <c r="MB14" s="203" t="s">
        <v>23</v>
      </c>
      <c r="MC14" s="203"/>
      <c r="MD14" s="203"/>
      <c r="ME14" s="203"/>
      <c r="MF14" s="129"/>
      <c r="MG14" s="129"/>
      <c r="MH14" s="202" t="s">
        <v>36</v>
      </c>
      <c r="MI14" s="202"/>
      <c r="MJ14" s="202"/>
      <c r="MK14" s="202"/>
      <c r="ML14" s="104"/>
      <c r="MM14" s="104"/>
      <c r="MN14" s="203" t="s">
        <v>24</v>
      </c>
      <c r="MO14" s="203"/>
      <c r="MP14" s="203"/>
      <c r="MQ14" s="203"/>
      <c r="MR14" s="129"/>
      <c r="MS14" s="129"/>
      <c r="MT14" s="202" t="s">
        <v>37</v>
      </c>
      <c r="MU14" s="202"/>
      <c r="MV14" s="202"/>
      <c r="MW14" s="202"/>
      <c r="MX14" s="104"/>
      <c r="MY14" s="104"/>
      <c r="MZ14" s="104"/>
      <c r="NA14" s="105"/>
      <c r="NB14" s="103"/>
      <c r="NC14" s="104"/>
      <c r="ND14" s="104"/>
      <c r="NE14" s="104"/>
      <c r="NF14" s="202" t="s">
        <v>33</v>
      </c>
      <c r="NG14" s="202"/>
      <c r="NH14" s="202"/>
      <c r="NI14" s="202"/>
      <c r="NJ14" s="104"/>
      <c r="NK14" s="104"/>
      <c r="NL14" s="203" t="s">
        <v>21</v>
      </c>
      <c r="NM14" s="203"/>
      <c r="NN14" s="203"/>
      <c r="NO14" s="203"/>
      <c r="NP14" s="129"/>
      <c r="NQ14" s="129"/>
      <c r="NR14" s="202" t="s">
        <v>34</v>
      </c>
      <c r="NS14" s="202"/>
      <c r="NT14" s="202"/>
      <c r="NU14" s="202"/>
      <c r="NV14" s="104"/>
      <c r="NW14" s="104"/>
      <c r="NX14" s="203" t="s">
        <v>22</v>
      </c>
      <c r="NY14" s="203"/>
      <c r="NZ14" s="203"/>
      <c r="OA14" s="203"/>
      <c r="OB14" s="129"/>
      <c r="OC14" s="129"/>
      <c r="OD14" s="202" t="s">
        <v>35</v>
      </c>
      <c r="OE14" s="202"/>
      <c r="OF14" s="202"/>
      <c r="OG14" s="202"/>
      <c r="OH14" s="104"/>
      <c r="OI14" s="104"/>
      <c r="OJ14" s="203" t="s">
        <v>23</v>
      </c>
      <c r="OK14" s="203"/>
      <c r="OL14" s="203"/>
      <c r="OM14" s="203"/>
      <c r="ON14" s="129"/>
      <c r="OO14" s="129"/>
      <c r="OP14" s="202" t="s">
        <v>36</v>
      </c>
      <c r="OQ14" s="202"/>
      <c r="OR14" s="202"/>
      <c r="OS14" s="202"/>
      <c r="OT14" s="104"/>
      <c r="OU14" s="104"/>
      <c r="OV14" s="203" t="s">
        <v>24</v>
      </c>
      <c r="OW14" s="203"/>
      <c r="OX14" s="203"/>
      <c r="OY14" s="203"/>
      <c r="OZ14" s="129"/>
      <c r="PA14" s="129"/>
      <c r="PB14" s="202" t="s">
        <v>37</v>
      </c>
      <c r="PC14" s="202"/>
      <c r="PD14" s="202"/>
      <c r="PE14" s="202"/>
      <c r="PF14" s="104"/>
      <c r="PG14" s="104"/>
      <c r="PH14" s="104"/>
      <c r="PI14" s="105"/>
      <c r="PJ14" s="103"/>
      <c r="PK14" s="104"/>
      <c r="PL14" s="104"/>
      <c r="PM14" s="104"/>
      <c r="PN14" s="202" t="s">
        <v>33</v>
      </c>
      <c r="PO14" s="202"/>
      <c r="PP14" s="202"/>
      <c r="PQ14" s="202"/>
      <c r="PR14" s="104"/>
      <c r="PS14" s="104"/>
      <c r="PT14" s="203" t="s">
        <v>21</v>
      </c>
      <c r="PU14" s="203"/>
      <c r="PV14" s="203"/>
      <c r="PW14" s="203"/>
      <c r="PX14" s="129"/>
      <c r="PY14" s="129"/>
      <c r="PZ14" s="202" t="s">
        <v>34</v>
      </c>
      <c r="QA14" s="202"/>
      <c r="QB14" s="202"/>
      <c r="QC14" s="202"/>
      <c r="QD14" s="104"/>
      <c r="QE14" s="104"/>
      <c r="QF14" s="203" t="s">
        <v>22</v>
      </c>
      <c r="QG14" s="203"/>
      <c r="QH14" s="203"/>
      <c r="QI14" s="203"/>
      <c r="QJ14" s="129"/>
      <c r="QK14" s="129"/>
      <c r="QL14" s="202" t="s">
        <v>35</v>
      </c>
      <c r="QM14" s="202"/>
      <c r="QN14" s="202"/>
      <c r="QO14" s="202"/>
      <c r="QP14" s="104"/>
      <c r="QQ14" s="104"/>
      <c r="QR14" s="203" t="s">
        <v>23</v>
      </c>
      <c r="QS14" s="203"/>
      <c r="QT14" s="203"/>
      <c r="QU14" s="203"/>
      <c r="QV14" s="129"/>
      <c r="QW14" s="129"/>
      <c r="QX14" s="202" t="s">
        <v>36</v>
      </c>
      <c r="QY14" s="202"/>
      <c r="QZ14" s="202"/>
      <c r="RA14" s="202"/>
      <c r="RB14" s="104"/>
      <c r="RC14" s="104"/>
      <c r="RD14" s="203" t="s">
        <v>24</v>
      </c>
      <c r="RE14" s="203"/>
      <c r="RF14" s="203"/>
      <c r="RG14" s="203"/>
      <c r="RH14" s="129"/>
      <c r="RI14" s="129"/>
      <c r="RJ14" s="202" t="s">
        <v>37</v>
      </c>
      <c r="RK14" s="202"/>
      <c r="RL14" s="202"/>
      <c r="RM14" s="202"/>
      <c r="RN14" s="104"/>
      <c r="RO14" s="104"/>
      <c r="RP14" s="104"/>
      <c r="RQ14" s="105"/>
      <c r="RR14" s="103"/>
      <c r="RS14" s="104"/>
      <c r="RT14" s="104"/>
      <c r="RU14" s="104"/>
      <c r="RV14" s="202" t="s">
        <v>33</v>
      </c>
      <c r="RW14" s="202"/>
      <c r="RX14" s="202"/>
      <c r="RY14" s="202"/>
      <c r="RZ14" s="104"/>
      <c r="SA14" s="104"/>
      <c r="SB14" s="203" t="s">
        <v>21</v>
      </c>
      <c r="SC14" s="203"/>
      <c r="SD14" s="203"/>
      <c r="SE14" s="203"/>
      <c r="SF14" s="129"/>
      <c r="SG14" s="129"/>
      <c r="SH14" s="202" t="s">
        <v>34</v>
      </c>
      <c r="SI14" s="202"/>
      <c r="SJ14" s="202"/>
      <c r="SK14" s="202"/>
      <c r="SL14" s="104"/>
      <c r="SM14" s="104"/>
      <c r="SN14" s="203" t="s">
        <v>22</v>
      </c>
      <c r="SO14" s="203"/>
      <c r="SP14" s="203"/>
      <c r="SQ14" s="203"/>
      <c r="SR14" s="129"/>
      <c r="SS14" s="129"/>
      <c r="ST14" s="202" t="s">
        <v>35</v>
      </c>
      <c r="SU14" s="202"/>
      <c r="SV14" s="202"/>
      <c r="SW14" s="202"/>
      <c r="SX14" s="104"/>
      <c r="SY14" s="104"/>
      <c r="SZ14" s="203" t="s">
        <v>23</v>
      </c>
      <c r="TA14" s="203"/>
      <c r="TB14" s="203"/>
      <c r="TC14" s="203"/>
      <c r="TD14" s="129"/>
      <c r="TE14" s="129"/>
      <c r="TF14" s="202" t="s">
        <v>36</v>
      </c>
      <c r="TG14" s="202"/>
      <c r="TH14" s="202"/>
      <c r="TI14" s="202"/>
      <c r="TJ14" s="104"/>
      <c r="TK14" s="104"/>
      <c r="TL14" s="203" t="s">
        <v>24</v>
      </c>
      <c r="TM14" s="203"/>
      <c r="TN14" s="203"/>
      <c r="TO14" s="203"/>
      <c r="TP14" s="129"/>
      <c r="TQ14" s="129"/>
      <c r="TR14" s="202" t="s">
        <v>37</v>
      </c>
      <c r="TS14" s="202"/>
      <c r="TT14" s="202"/>
      <c r="TU14" s="202"/>
      <c r="TV14" s="104"/>
      <c r="TW14" s="104"/>
      <c r="TX14" s="104"/>
      <c r="TY14" s="105"/>
      <c r="TZ14" s="103"/>
      <c r="UA14" s="104"/>
      <c r="UB14" s="104"/>
      <c r="UC14" s="104"/>
      <c r="UD14" s="202" t="s">
        <v>33</v>
      </c>
      <c r="UE14" s="202"/>
      <c r="UF14" s="202"/>
      <c r="UG14" s="202"/>
      <c r="UH14" s="104"/>
      <c r="UI14" s="104"/>
      <c r="UJ14" s="203" t="s">
        <v>21</v>
      </c>
      <c r="UK14" s="203"/>
      <c r="UL14" s="203"/>
      <c r="UM14" s="203"/>
      <c r="UN14" s="129"/>
      <c r="UO14" s="129"/>
      <c r="UP14" s="202" t="s">
        <v>34</v>
      </c>
      <c r="UQ14" s="202"/>
      <c r="UR14" s="202"/>
      <c r="US14" s="202"/>
      <c r="UT14" s="104"/>
      <c r="UU14" s="104"/>
      <c r="UV14" s="203" t="s">
        <v>22</v>
      </c>
      <c r="UW14" s="203"/>
      <c r="UX14" s="203"/>
      <c r="UY14" s="203"/>
      <c r="UZ14" s="129"/>
      <c r="VA14" s="129"/>
      <c r="VB14" s="202" t="s">
        <v>35</v>
      </c>
      <c r="VC14" s="202"/>
      <c r="VD14" s="202"/>
      <c r="VE14" s="202"/>
      <c r="VF14" s="104"/>
      <c r="VG14" s="104"/>
      <c r="VH14" s="203" t="s">
        <v>23</v>
      </c>
      <c r="VI14" s="203"/>
      <c r="VJ14" s="203"/>
      <c r="VK14" s="203"/>
      <c r="VL14" s="129"/>
      <c r="VM14" s="129"/>
      <c r="VN14" s="202" t="s">
        <v>36</v>
      </c>
      <c r="VO14" s="202"/>
      <c r="VP14" s="202"/>
      <c r="VQ14" s="202"/>
      <c r="VR14" s="104"/>
      <c r="VS14" s="104"/>
      <c r="VT14" s="203" t="s">
        <v>24</v>
      </c>
      <c r="VU14" s="203"/>
      <c r="VV14" s="203"/>
      <c r="VW14" s="203"/>
      <c r="VX14" s="129"/>
      <c r="VY14" s="129"/>
      <c r="VZ14" s="202" t="s">
        <v>37</v>
      </c>
      <c r="WA14" s="202"/>
      <c r="WB14" s="202"/>
      <c r="WC14" s="202"/>
      <c r="WD14" s="104"/>
      <c r="WE14" s="104"/>
      <c r="WF14" s="104"/>
      <c r="WG14" s="105"/>
      <c r="WH14" s="103"/>
      <c r="WI14" s="104"/>
      <c r="WJ14" s="104"/>
      <c r="WK14" s="104"/>
      <c r="WL14" s="202" t="s">
        <v>33</v>
      </c>
      <c r="WM14" s="202"/>
      <c r="WN14" s="202"/>
      <c r="WO14" s="202"/>
      <c r="WP14" s="104"/>
      <c r="WQ14" s="104"/>
      <c r="WR14" s="203" t="s">
        <v>21</v>
      </c>
      <c r="WS14" s="203"/>
      <c r="WT14" s="203"/>
      <c r="WU14" s="203"/>
      <c r="WV14" s="129"/>
      <c r="WW14" s="129"/>
      <c r="WX14" s="202" t="s">
        <v>34</v>
      </c>
      <c r="WY14" s="202"/>
      <c r="WZ14" s="202"/>
      <c r="XA14" s="202"/>
      <c r="XB14" s="104"/>
      <c r="XC14" s="104"/>
      <c r="XD14" s="203" t="s">
        <v>22</v>
      </c>
      <c r="XE14" s="203"/>
      <c r="XF14" s="203"/>
      <c r="XG14" s="203"/>
      <c r="XH14" s="129"/>
      <c r="XI14" s="129"/>
      <c r="XJ14" s="202" t="s">
        <v>35</v>
      </c>
      <c r="XK14" s="202"/>
      <c r="XL14" s="202"/>
      <c r="XM14" s="202"/>
      <c r="XN14" s="104"/>
      <c r="XO14" s="104"/>
      <c r="XP14" s="203" t="s">
        <v>23</v>
      </c>
      <c r="XQ14" s="203"/>
      <c r="XR14" s="203"/>
      <c r="XS14" s="203"/>
      <c r="XT14" s="129"/>
      <c r="XU14" s="129"/>
      <c r="XV14" s="202" t="s">
        <v>36</v>
      </c>
      <c r="XW14" s="202"/>
      <c r="XX14" s="202"/>
      <c r="XY14" s="202"/>
      <c r="XZ14" s="104"/>
      <c r="YA14" s="104"/>
      <c r="YB14" s="203" t="s">
        <v>24</v>
      </c>
      <c r="YC14" s="203"/>
      <c r="YD14" s="203"/>
      <c r="YE14" s="203"/>
      <c r="YF14" s="129"/>
      <c r="YG14" s="129"/>
      <c r="YH14" s="202" t="s">
        <v>37</v>
      </c>
      <c r="YI14" s="202"/>
      <c r="YJ14" s="202"/>
      <c r="YK14" s="202"/>
      <c r="YL14" s="104"/>
      <c r="YM14" s="104"/>
      <c r="YN14" s="104"/>
      <c r="YO14" s="105"/>
      <c r="YP14" s="103"/>
      <c r="YQ14" s="104"/>
      <c r="YR14" s="104"/>
      <c r="YS14" s="104"/>
      <c r="YT14" s="202" t="s">
        <v>33</v>
      </c>
      <c r="YU14" s="202"/>
      <c r="YV14" s="202"/>
      <c r="YW14" s="202"/>
      <c r="YX14" s="104"/>
      <c r="YY14" s="104"/>
      <c r="YZ14" s="203" t="s">
        <v>21</v>
      </c>
      <c r="ZA14" s="203"/>
      <c r="ZB14" s="203"/>
      <c r="ZC14" s="203"/>
      <c r="ZD14" s="129"/>
      <c r="ZE14" s="129"/>
      <c r="ZF14" s="202" t="s">
        <v>34</v>
      </c>
      <c r="ZG14" s="202"/>
      <c r="ZH14" s="202"/>
      <c r="ZI14" s="202"/>
      <c r="ZJ14" s="104"/>
      <c r="ZK14" s="104"/>
      <c r="ZL14" s="203" t="s">
        <v>22</v>
      </c>
      <c r="ZM14" s="203"/>
      <c r="ZN14" s="203"/>
      <c r="ZO14" s="203"/>
      <c r="ZP14" s="129"/>
      <c r="ZQ14" s="129"/>
      <c r="ZR14" s="202" t="s">
        <v>35</v>
      </c>
      <c r="ZS14" s="202"/>
      <c r="ZT14" s="202"/>
      <c r="ZU14" s="202"/>
      <c r="ZV14" s="104"/>
      <c r="ZW14" s="104"/>
      <c r="ZX14" s="203" t="s">
        <v>23</v>
      </c>
      <c r="ZY14" s="203"/>
      <c r="ZZ14" s="203"/>
      <c r="AAA14" s="203"/>
      <c r="AAB14" s="129"/>
      <c r="AAC14" s="129"/>
      <c r="AAD14" s="202" t="s">
        <v>36</v>
      </c>
      <c r="AAE14" s="202"/>
      <c r="AAF14" s="202"/>
      <c r="AAG14" s="202"/>
      <c r="AAH14" s="104"/>
      <c r="AAI14" s="104"/>
      <c r="AAJ14" s="203" t="s">
        <v>24</v>
      </c>
      <c r="AAK14" s="203"/>
      <c r="AAL14" s="203"/>
      <c r="AAM14" s="203"/>
      <c r="AAN14" s="129"/>
      <c r="AAO14" s="129"/>
      <c r="AAP14" s="202" t="s">
        <v>37</v>
      </c>
      <c r="AAQ14" s="202"/>
      <c r="AAR14" s="202"/>
      <c r="AAS14" s="202"/>
      <c r="AAT14" s="104"/>
      <c r="AAU14" s="104"/>
      <c r="AAV14" s="104"/>
      <c r="AAW14" s="105"/>
      <c r="AAX14" s="103"/>
      <c r="AAY14" s="104"/>
      <c r="AAZ14" s="104"/>
      <c r="ABA14" s="104"/>
      <c r="ABB14" s="202" t="s">
        <v>33</v>
      </c>
      <c r="ABC14" s="202"/>
      <c r="ABD14" s="202"/>
      <c r="ABE14" s="202"/>
      <c r="ABF14" s="104"/>
      <c r="ABG14" s="104"/>
      <c r="ABH14" s="203" t="s">
        <v>21</v>
      </c>
      <c r="ABI14" s="203"/>
      <c r="ABJ14" s="203"/>
      <c r="ABK14" s="203"/>
      <c r="ABL14" s="129"/>
      <c r="ABM14" s="129"/>
      <c r="ABN14" s="202" t="s">
        <v>34</v>
      </c>
      <c r="ABO14" s="202"/>
      <c r="ABP14" s="202"/>
      <c r="ABQ14" s="202"/>
      <c r="ABR14" s="104"/>
      <c r="ABS14" s="104"/>
      <c r="ABT14" s="203" t="s">
        <v>22</v>
      </c>
      <c r="ABU14" s="203"/>
      <c r="ABV14" s="203"/>
      <c r="ABW14" s="203"/>
      <c r="ABX14" s="129"/>
      <c r="ABY14" s="129"/>
      <c r="ABZ14" s="202" t="s">
        <v>35</v>
      </c>
      <c r="ACA14" s="202"/>
      <c r="ACB14" s="202"/>
      <c r="ACC14" s="202"/>
      <c r="ACD14" s="104"/>
      <c r="ACE14" s="104"/>
      <c r="ACF14" s="203" t="s">
        <v>23</v>
      </c>
      <c r="ACG14" s="203"/>
      <c r="ACH14" s="203"/>
      <c r="ACI14" s="203"/>
      <c r="ACJ14" s="129"/>
      <c r="ACK14" s="129"/>
      <c r="ACL14" s="202" t="s">
        <v>36</v>
      </c>
      <c r="ACM14" s="202"/>
      <c r="ACN14" s="202"/>
      <c r="ACO14" s="202"/>
      <c r="ACP14" s="104"/>
      <c r="ACQ14" s="104"/>
      <c r="ACR14" s="203" t="s">
        <v>24</v>
      </c>
      <c r="ACS14" s="203"/>
      <c r="ACT14" s="203"/>
      <c r="ACU14" s="203"/>
      <c r="ACV14" s="129"/>
      <c r="ACW14" s="129"/>
      <c r="ACX14" s="202" t="s">
        <v>37</v>
      </c>
      <c r="ACY14" s="202"/>
      <c r="ACZ14" s="202"/>
      <c r="ADA14" s="202"/>
      <c r="ADB14" s="104"/>
      <c r="ADC14" s="104"/>
      <c r="ADD14" s="104"/>
      <c r="ADE14" s="105"/>
      <c r="ADF14" s="103"/>
      <c r="ADG14" s="104"/>
      <c r="ADH14" s="104"/>
      <c r="ADI14" s="104"/>
      <c r="ADJ14" s="202" t="s">
        <v>33</v>
      </c>
      <c r="ADK14" s="202"/>
      <c r="ADL14" s="202"/>
      <c r="ADM14" s="202"/>
      <c r="ADN14" s="104"/>
      <c r="ADO14" s="104"/>
      <c r="ADP14" s="203" t="s">
        <v>21</v>
      </c>
      <c r="ADQ14" s="203"/>
      <c r="ADR14" s="203"/>
      <c r="ADS14" s="203"/>
      <c r="ADT14" s="129"/>
      <c r="ADU14" s="129"/>
      <c r="ADV14" s="202" t="s">
        <v>34</v>
      </c>
      <c r="ADW14" s="202"/>
      <c r="ADX14" s="202"/>
      <c r="ADY14" s="202"/>
      <c r="ADZ14" s="104"/>
      <c r="AEA14" s="104"/>
      <c r="AEB14" s="203" t="s">
        <v>22</v>
      </c>
      <c r="AEC14" s="203"/>
      <c r="AED14" s="203"/>
      <c r="AEE14" s="203"/>
      <c r="AEF14" s="129"/>
      <c r="AEG14" s="129"/>
      <c r="AEH14" s="202" t="s">
        <v>35</v>
      </c>
      <c r="AEI14" s="202"/>
      <c r="AEJ14" s="202"/>
      <c r="AEK14" s="202"/>
      <c r="AEL14" s="104"/>
      <c r="AEM14" s="104"/>
      <c r="AEN14" s="203" t="s">
        <v>23</v>
      </c>
      <c r="AEO14" s="203"/>
      <c r="AEP14" s="203"/>
      <c r="AEQ14" s="203"/>
      <c r="AER14" s="129"/>
      <c r="AES14" s="129"/>
      <c r="AET14" s="202" t="s">
        <v>36</v>
      </c>
      <c r="AEU14" s="202"/>
      <c r="AEV14" s="202"/>
      <c r="AEW14" s="202"/>
      <c r="AEX14" s="104"/>
      <c r="AEY14" s="104"/>
      <c r="AEZ14" s="203" t="s">
        <v>24</v>
      </c>
      <c r="AFA14" s="203"/>
      <c r="AFB14" s="203"/>
      <c r="AFC14" s="203"/>
      <c r="AFD14" s="129"/>
      <c r="AFE14" s="129"/>
      <c r="AFF14" s="202" t="s">
        <v>37</v>
      </c>
      <c r="AFG14" s="202"/>
      <c r="AFH14" s="202"/>
      <c r="AFI14" s="202"/>
      <c r="AFJ14" s="104"/>
      <c r="AFK14" s="104"/>
      <c r="AFL14" s="104"/>
      <c r="AFM14" s="105"/>
      <c r="AFN14" s="103"/>
      <c r="AFO14" s="104"/>
      <c r="AFP14" s="104"/>
      <c r="AFQ14" s="104"/>
      <c r="AFR14" s="202" t="s">
        <v>33</v>
      </c>
      <c r="AFS14" s="202"/>
      <c r="AFT14" s="202"/>
      <c r="AFU14" s="202"/>
      <c r="AFV14" s="104"/>
      <c r="AFW14" s="104"/>
      <c r="AFX14" s="203" t="s">
        <v>21</v>
      </c>
      <c r="AFY14" s="203"/>
      <c r="AFZ14" s="203"/>
      <c r="AGA14" s="203"/>
      <c r="AGB14" s="129"/>
      <c r="AGC14" s="129"/>
      <c r="AGD14" s="202" t="s">
        <v>34</v>
      </c>
      <c r="AGE14" s="202"/>
      <c r="AGF14" s="202"/>
      <c r="AGG14" s="202"/>
      <c r="AGH14" s="104"/>
      <c r="AGI14" s="104"/>
      <c r="AGJ14" s="203" t="s">
        <v>22</v>
      </c>
      <c r="AGK14" s="203"/>
      <c r="AGL14" s="203"/>
      <c r="AGM14" s="203"/>
      <c r="AGN14" s="129"/>
      <c r="AGO14" s="129"/>
      <c r="AGP14" s="202" t="s">
        <v>35</v>
      </c>
      <c r="AGQ14" s="202"/>
      <c r="AGR14" s="202"/>
      <c r="AGS14" s="202"/>
      <c r="AGT14" s="104"/>
      <c r="AGU14" s="104"/>
      <c r="AGV14" s="203" t="s">
        <v>23</v>
      </c>
      <c r="AGW14" s="203"/>
      <c r="AGX14" s="203"/>
      <c r="AGY14" s="203"/>
      <c r="AGZ14" s="129"/>
      <c r="AHA14" s="129"/>
      <c r="AHB14" s="202" t="s">
        <v>36</v>
      </c>
      <c r="AHC14" s="202"/>
      <c r="AHD14" s="202"/>
      <c r="AHE14" s="202"/>
      <c r="AHF14" s="104"/>
      <c r="AHG14" s="104"/>
      <c r="AHH14" s="203" t="s">
        <v>24</v>
      </c>
      <c r="AHI14" s="203"/>
      <c r="AHJ14" s="203"/>
      <c r="AHK14" s="203"/>
      <c r="AHL14" s="129"/>
      <c r="AHM14" s="129"/>
      <c r="AHN14" s="202" t="s">
        <v>37</v>
      </c>
      <c r="AHO14" s="202"/>
      <c r="AHP14" s="202"/>
      <c r="AHQ14" s="202"/>
      <c r="AHR14" s="104"/>
      <c r="AHS14" s="104"/>
      <c r="AHT14" s="104"/>
      <c r="AHU14" s="105"/>
      <c r="AHV14" s="103"/>
      <c r="AHW14" s="104"/>
      <c r="AHX14" s="104"/>
      <c r="AHY14" s="104"/>
      <c r="AHZ14" s="202" t="s">
        <v>33</v>
      </c>
      <c r="AIA14" s="202"/>
      <c r="AIB14" s="202"/>
      <c r="AIC14" s="202"/>
      <c r="AID14" s="104"/>
      <c r="AIE14" s="104"/>
      <c r="AIF14" s="203" t="s">
        <v>21</v>
      </c>
      <c r="AIG14" s="203"/>
      <c r="AIH14" s="203"/>
      <c r="AII14" s="203"/>
      <c r="AIJ14" s="129"/>
      <c r="AIK14" s="129"/>
      <c r="AIL14" s="202" t="s">
        <v>34</v>
      </c>
      <c r="AIM14" s="202"/>
      <c r="AIN14" s="202"/>
      <c r="AIO14" s="202"/>
      <c r="AIP14" s="104"/>
      <c r="AIQ14" s="104"/>
      <c r="AIR14" s="203" t="s">
        <v>22</v>
      </c>
      <c r="AIS14" s="203"/>
      <c r="AIT14" s="203"/>
      <c r="AIU14" s="203"/>
      <c r="AIV14" s="129"/>
      <c r="AIW14" s="129"/>
      <c r="AIX14" s="202" t="s">
        <v>35</v>
      </c>
      <c r="AIY14" s="202"/>
      <c r="AIZ14" s="202"/>
      <c r="AJA14" s="202"/>
      <c r="AJB14" s="104"/>
      <c r="AJC14" s="104"/>
      <c r="AJD14" s="203" t="s">
        <v>23</v>
      </c>
      <c r="AJE14" s="203"/>
      <c r="AJF14" s="203"/>
      <c r="AJG14" s="203"/>
      <c r="AJH14" s="129"/>
      <c r="AJI14" s="129"/>
      <c r="AJJ14" s="202" t="s">
        <v>36</v>
      </c>
      <c r="AJK14" s="202"/>
      <c r="AJL14" s="202"/>
      <c r="AJM14" s="202"/>
      <c r="AJN14" s="104"/>
      <c r="AJO14" s="104"/>
      <c r="AJP14" s="203" t="s">
        <v>24</v>
      </c>
      <c r="AJQ14" s="203"/>
      <c r="AJR14" s="203"/>
      <c r="AJS14" s="203"/>
      <c r="AJT14" s="129"/>
      <c r="AJU14" s="129"/>
      <c r="AJV14" s="202" t="s">
        <v>37</v>
      </c>
      <c r="AJW14" s="202"/>
      <c r="AJX14" s="202"/>
      <c r="AJY14" s="202"/>
      <c r="AJZ14" s="104"/>
      <c r="AKA14" s="104"/>
      <c r="AKB14" s="104"/>
      <c r="AKC14" s="105"/>
      <c r="AKD14" s="103"/>
      <c r="AKE14" s="104"/>
      <c r="AKF14" s="104"/>
      <c r="AKG14" s="104"/>
      <c r="AKH14" s="202" t="s">
        <v>33</v>
      </c>
      <c r="AKI14" s="202"/>
      <c r="AKJ14" s="202"/>
      <c r="AKK14" s="202"/>
      <c r="AKL14" s="104"/>
      <c r="AKM14" s="104"/>
      <c r="AKN14" s="203" t="s">
        <v>21</v>
      </c>
      <c r="AKO14" s="203"/>
      <c r="AKP14" s="203"/>
      <c r="AKQ14" s="203"/>
      <c r="AKR14" s="129"/>
      <c r="AKS14" s="129"/>
      <c r="AKT14" s="202" t="s">
        <v>34</v>
      </c>
      <c r="AKU14" s="202"/>
      <c r="AKV14" s="202"/>
      <c r="AKW14" s="202"/>
      <c r="AKX14" s="104"/>
      <c r="AKY14" s="104"/>
      <c r="AKZ14" s="203" t="s">
        <v>22</v>
      </c>
      <c r="ALA14" s="203"/>
      <c r="ALB14" s="203"/>
      <c r="ALC14" s="203"/>
      <c r="ALD14" s="129"/>
      <c r="ALE14" s="129"/>
      <c r="ALF14" s="202" t="s">
        <v>35</v>
      </c>
      <c r="ALG14" s="202"/>
      <c r="ALH14" s="202"/>
      <c r="ALI14" s="202"/>
      <c r="ALJ14" s="104"/>
      <c r="ALK14" s="104"/>
      <c r="ALL14" s="203" t="s">
        <v>23</v>
      </c>
      <c r="ALM14" s="203"/>
      <c r="ALN14" s="203"/>
      <c r="ALO14" s="203"/>
      <c r="ALP14" s="129"/>
      <c r="ALQ14" s="129"/>
      <c r="ALR14" s="202" t="s">
        <v>36</v>
      </c>
      <c r="ALS14" s="202"/>
      <c r="ALT14" s="202"/>
      <c r="ALU14" s="202"/>
      <c r="ALV14" s="104"/>
      <c r="ALW14" s="104"/>
      <c r="ALX14" s="203" t="s">
        <v>24</v>
      </c>
      <c r="ALY14" s="203"/>
      <c r="ALZ14" s="203"/>
      <c r="AMA14" s="203"/>
      <c r="AMB14" s="129"/>
      <c r="AMC14" s="129"/>
      <c r="AMD14" s="202" t="s">
        <v>37</v>
      </c>
      <c r="AME14" s="202"/>
      <c r="AMF14" s="202"/>
      <c r="AMG14" s="202"/>
      <c r="AMH14" s="104"/>
      <c r="AMI14" s="104"/>
      <c r="AMJ14" s="104"/>
      <c r="AMK14" s="105"/>
      <c r="AML14" s="103"/>
      <c r="AMM14" s="104"/>
      <c r="AMN14" s="104"/>
      <c r="AMO14" s="104"/>
      <c r="AMP14" s="202" t="s">
        <v>33</v>
      </c>
      <c r="AMQ14" s="202"/>
      <c r="AMR14" s="202"/>
      <c r="AMS14" s="202"/>
      <c r="AMT14" s="104"/>
      <c r="AMU14" s="104"/>
      <c r="AMV14" s="203" t="s">
        <v>21</v>
      </c>
      <c r="AMW14" s="203"/>
      <c r="AMX14" s="203"/>
      <c r="AMY14" s="203"/>
      <c r="AMZ14" s="129"/>
      <c r="ANA14" s="129"/>
      <c r="ANB14" s="202" t="s">
        <v>34</v>
      </c>
      <c r="ANC14" s="202"/>
      <c r="AND14" s="202"/>
      <c r="ANE14" s="202"/>
      <c r="ANF14" s="104"/>
      <c r="ANG14" s="104"/>
      <c r="ANH14" s="203" t="s">
        <v>22</v>
      </c>
      <c r="ANI14" s="203"/>
      <c r="ANJ14" s="203"/>
      <c r="ANK14" s="203"/>
      <c r="ANL14" s="129"/>
      <c r="ANM14" s="129"/>
      <c r="ANN14" s="202" t="s">
        <v>35</v>
      </c>
      <c r="ANO14" s="202"/>
      <c r="ANP14" s="202"/>
      <c r="ANQ14" s="202"/>
      <c r="ANR14" s="104"/>
      <c r="ANS14" s="104"/>
      <c r="ANT14" s="203" t="s">
        <v>23</v>
      </c>
      <c r="ANU14" s="203"/>
      <c r="ANV14" s="203"/>
      <c r="ANW14" s="203"/>
      <c r="ANX14" s="129"/>
      <c r="ANY14" s="129"/>
      <c r="ANZ14" s="202" t="s">
        <v>36</v>
      </c>
      <c r="AOA14" s="202"/>
      <c r="AOB14" s="202"/>
      <c r="AOC14" s="202"/>
      <c r="AOD14" s="104"/>
      <c r="AOE14" s="104"/>
      <c r="AOF14" s="203" t="s">
        <v>24</v>
      </c>
      <c r="AOG14" s="203"/>
      <c r="AOH14" s="203"/>
      <c r="AOI14" s="203"/>
      <c r="AOJ14" s="129"/>
      <c r="AOK14" s="129"/>
      <c r="AOL14" s="202" t="s">
        <v>37</v>
      </c>
      <c r="AOM14" s="202"/>
      <c r="AON14" s="202"/>
      <c r="AOO14" s="202"/>
      <c r="AOP14" s="104"/>
      <c r="AOQ14" s="104"/>
      <c r="AOR14" s="104"/>
      <c r="AOS14" s="105"/>
      <c r="AOT14" s="103"/>
      <c r="AOU14" s="104"/>
      <c r="AOV14" s="104"/>
      <c r="AOW14" s="104"/>
      <c r="AOX14" s="202" t="s">
        <v>33</v>
      </c>
      <c r="AOY14" s="202"/>
      <c r="AOZ14" s="202"/>
      <c r="APA14" s="202"/>
      <c r="APB14" s="104"/>
      <c r="APC14" s="104"/>
      <c r="APD14" s="203" t="s">
        <v>21</v>
      </c>
      <c r="APE14" s="203"/>
      <c r="APF14" s="203"/>
      <c r="APG14" s="203"/>
      <c r="APH14" s="129"/>
      <c r="API14" s="129"/>
      <c r="APJ14" s="202" t="s">
        <v>34</v>
      </c>
      <c r="APK14" s="202"/>
      <c r="APL14" s="202"/>
      <c r="APM14" s="202"/>
      <c r="APN14" s="104"/>
      <c r="APO14" s="104"/>
      <c r="APP14" s="203" t="s">
        <v>22</v>
      </c>
      <c r="APQ14" s="203"/>
      <c r="APR14" s="203"/>
      <c r="APS14" s="203"/>
      <c r="APT14" s="129"/>
      <c r="APU14" s="129"/>
      <c r="APV14" s="202" t="s">
        <v>35</v>
      </c>
      <c r="APW14" s="202"/>
      <c r="APX14" s="202"/>
      <c r="APY14" s="202"/>
      <c r="APZ14" s="104"/>
      <c r="AQA14" s="104"/>
      <c r="AQB14" s="203" t="s">
        <v>23</v>
      </c>
      <c r="AQC14" s="203"/>
      <c r="AQD14" s="203"/>
      <c r="AQE14" s="203"/>
      <c r="AQF14" s="129"/>
      <c r="AQG14" s="129"/>
      <c r="AQH14" s="202" t="s">
        <v>36</v>
      </c>
      <c r="AQI14" s="202"/>
      <c r="AQJ14" s="202"/>
      <c r="AQK14" s="202"/>
      <c r="AQL14" s="104"/>
      <c r="AQM14" s="104"/>
      <c r="AQN14" s="203" t="s">
        <v>24</v>
      </c>
      <c r="AQO14" s="203"/>
      <c r="AQP14" s="203"/>
      <c r="AQQ14" s="203"/>
      <c r="AQR14" s="129"/>
      <c r="AQS14" s="129"/>
      <c r="AQT14" s="202" t="s">
        <v>37</v>
      </c>
      <c r="AQU14" s="202"/>
      <c r="AQV14" s="202"/>
      <c r="AQW14" s="202"/>
      <c r="AQX14" s="104"/>
      <c r="AQY14" s="104"/>
      <c r="AQZ14" s="104"/>
      <c r="ARA14" s="105"/>
      <c r="ARB14" s="103"/>
      <c r="ARC14" s="104"/>
      <c r="ARD14" s="104"/>
      <c r="ARE14" s="104"/>
      <c r="ARF14" s="202" t="s">
        <v>33</v>
      </c>
      <c r="ARG14" s="202"/>
      <c r="ARH14" s="202"/>
      <c r="ARI14" s="202"/>
      <c r="ARJ14" s="104"/>
      <c r="ARK14" s="104"/>
      <c r="ARL14" s="203" t="s">
        <v>21</v>
      </c>
      <c r="ARM14" s="203"/>
      <c r="ARN14" s="203"/>
      <c r="ARO14" s="203"/>
      <c r="ARP14" s="129"/>
      <c r="ARQ14" s="129"/>
      <c r="ARR14" s="202" t="s">
        <v>34</v>
      </c>
      <c r="ARS14" s="202"/>
      <c r="ART14" s="202"/>
      <c r="ARU14" s="202"/>
      <c r="ARV14" s="104"/>
      <c r="ARW14" s="104"/>
      <c r="ARX14" s="203" t="s">
        <v>22</v>
      </c>
      <c r="ARY14" s="203"/>
      <c r="ARZ14" s="203"/>
      <c r="ASA14" s="203"/>
      <c r="ASB14" s="129"/>
      <c r="ASC14" s="129"/>
      <c r="ASD14" s="202" t="s">
        <v>35</v>
      </c>
      <c r="ASE14" s="202"/>
      <c r="ASF14" s="202"/>
      <c r="ASG14" s="202"/>
      <c r="ASH14" s="104"/>
      <c r="ASI14" s="104"/>
      <c r="ASJ14" s="203" t="s">
        <v>23</v>
      </c>
      <c r="ASK14" s="203"/>
      <c r="ASL14" s="203"/>
      <c r="ASM14" s="203"/>
      <c r="ASN14" s="129"/>
      <c r="ASO14" s="129"/>
      <c r="ASP14" s="202" t="s">
        <v>36</v>
      </c>
      <c r="ASQ14" s="202"/>
      <c r="ASR14" s="202"/>
      <c r="ASS14" s="202"/>
      <c r="AST14" s="104"/>
      <c r="ASU14" s="104"/>
      <c r="ASV14" s="203" t="s">
        <v>24</v>
      </c>
      <c r="ASW14" s="203"/>
      <c r="ASX14" s="203"/>
      <c r="ASY14" s="203"/>
      <c r="ASZ14" s="129"/>
      <c r="ATA14" s="129"/>
      <c r="ATB14" s="202" t="s">
        <v>37</v>
      </c>
      <c r="ATC14" s="202"/>
      <c r="ATD14" s="202"/>
      <c r="ATE14" s="202"/>
      <c r="ATF14" s="104"/>
      <c r="ATG14" s="104"/>
      <c r="ATH14" s="104"/>
      <c r="ATI14" s="105"/>
      <c r="ATJ14" s="103"/>
      <c r="ATK14" s="104"/>
      <c r="ATL14" s="104"/>
      <c r="ATM14" s="104"/>
      <c r="ATN14" s="202" t="s">
        <v>33</v>
      </c>
      <c r="ATO14" s="202"/>
      <c r="ATP14" s="202"/>
      <c r="ATQ14" s="202"/>
      <c r="ATR14" s="104"/>
      <c r="ATS14" s="104"/>
      <c r="ATT14" s="203" t="s">
        <v>21</v>
      </c>
      <c r="ATU14" s="203"/>
      <c r="ATV14" s="203"/>
      <c r="ATW14" s="203"/>
      <c r="ATX14" s="129"/>
      <c r="ATY14" s="129"/>
      <c r="ATZ14" s="202" t="s">
        <v>34</v>
      </c>
      <c r="AUA14" s="202"/>
      <c r="AUB14" s="202"/>
      <c r="AUC14" s="202"/>
      <c r="AUD14" s="104"/>
      <c r="AUE14" s="104"/>
      <c r="AUF14" s="203" t="s">
        <v>22</v>
      </c>
      <c r="AUG14" s="203"/>
      <c r="AUH14" s="203"/>
      <c r="AUI14" s="203"/>
      <c r="AUJ14" s="129"/>
      <c r="AUK14" s="129"/>
      <c r="AUL14" s="202" t="s">
        <v>35</v>
      </c>
      <c r="AUM14" s="202"/>
      <c r="AUN14" s="202"/>
      <c r="AUO14" s="202"/>
      <c r="AUP14" s="104"/>
      <c r="AUQ14" s="104"/>
      <c r="AUR14" s="203" t="s">
        <v>23</v>
      </c>
      <c r="AUS14" s="203"/>
      <c r="AUT14" s="203"/>
      <c r="AUU14" s="203"/>
      <c r="AUV14" s="129"/>
      <c r="AUW14" s="129"/>
      <c r="AUX14" s="202" t="s">
        <v>36</v>
      </c>
      <c r="AUY14" s="202"/>
      <c r="AUZ14" s="202"/>
      <c r="AVA14" s="202"/>
      <c r="AVB14" s="104"/>
      <c r="AVC14" s="104"/>
      <c r="AVD14" s="203" t="s">
        <v>24</v>
      </c>
      <c r="AVE14" s="203"/>
      <c r="AVF14" s="203"/>
      <c r="AVG14" s="203"/>
      <c r="AVH14" s="129"/>
      <c r="AVI14" s="129"/>
      <c r="AVJ14" s="202" t="s">
        <v>37</v>
      </c>
      <c r="AVK14" s="202"/>
      <c r="AVL14" s="202"/>
      <c r="AVM14" s="202"/>
      <c r="AVN14" s="104"/>
      <c r="AVO14" s="104"/>
      <c r="AVP14" s="104"/>
      <c r="AVQ14" s="105"/>
      <c r="AVR14" s="103"/>
      <c r="AVS14" s="104"/>
      <c r="AVT14" s="104"/>
      <c r="AVU14" s="104"/>
      <c r="AVV14" s="202" t="s">
        <v>33</v>
      </c>
      <c r="AVW14" s="202"/>
      <c r="AVX14" s="202"/>
      <c r="AVY14" s="202"/>
      <c r="AVZ14" s="104"/>
      <c r="AWA14" s="104"/>
      <c r="AWB14" s="203" t="s">
        <v>21</v>
      </c>
      <c r="AWC14" s="203"/>
      <c r="AWD14" s="203"/>
      <c r="AWE14" s="203"/>
      <c r="AWF14" s="129"/>
      <c r="AWG14" s="129"/>
      <c r="AWH14" s="202" t="s">
        <v>34</v>
      </c>
      <c r="AWI14" s="202"/>
      <c r="AWJ14" s="202"/>
      <c r="AWK14" s="202"/>
      <c r="AWL14" s="104"/>
      <c r="AWM14" s="104"/>
      <c r="AWN14" s="203" t="s">
        <v>22</v>
      </c>
      <c r="AWO14" s="203"/>
      <c r="AWP14" s="203"/>
      <c r="AWQ14" s="203"/>
      <c r="AWR14" s="129"/>
      <c r="AWS14" s="129"/>
      <c r="AWT14" s="202" t="s">
        <v>35</v>
      </c>
      <c r="AWU14" s="202"/>
      <c r="AWV14" s="202"/>
      <c r="AWW14" s="202"/>
      <c r="AWX14" s="104"/>
      <c r="AWY14" s="104"/>
      <c r="AWZ14" s="203" t="s">
        <v>23</v>
      </c>
      <c r="AXA14" s="203"/>
      <c r="AXB14" s="203"/>
      <c r="AXC14" s="203"/>
      <c r="AXD14" s="129"/>
      <c r="AXE14" s="129"/>
      <c r="AXF14" s="202" t="s">
        <v>36</v>
      </c>
      <c r="AXG14" s="202"/>
      <c r="AXH14" s="202"/>
      <c r="AXI14" s="202"/>
      <c r="AXJ14" s="104"/>
      <c r="AXK14" s="104"/>
      <c r="AXL14" s="203" t="s">
        <v>24</v>
      </c>
      <c r="AXM14" s="203"/>
      <c r="AXN14" s="203"/>
      <c r="AXO14" s="203"/>
      <c r="AXP14" s="129"/>
      <c r="AXQ14" s="129"/>
      <c r="AXR14" s="202" t="s">
        <v>37</v>
      </c>
      <c r="AXS14" s="202"/>
      <c r="AXT14" s="202"/>
      <c r="AXU14" s="202"/>
      <c r="AXV14" s="104"/>
      <c r="AXW14" s="104"/>
      <c r="AXX14" s="104"/>
      <c r="AXY14" s="105"/>
      <c r="AXZ14" s="103"/>
      <c r="AYA14" s="104"/>
      <c r="AYB14" s="104"/>
      <c r="AYC14" s="104"/>
      <c r="AYD14" s="202" t="s">
        <v>33</v>
      </c>
      <c r="AYE14" s="202"/>
      <c r="AYF14" s="202"/>
      <c r="AYG14" s="202"/>
      <c r="AYH14" s="104"/>
      <c r="AYI14" s="104"/>
      <c r="AYJ14" s="203" t="s">
        <v>21</v>
      </c>
      <c r="AYK14" s="203"/>
      <c r="AYL14" s="203"/>
      <c r="AYM14" s="203"/>
      <c r="AYN14" s="129"/>
      <c r="AYO14" s="129"/>
      <c r="AYP14" s="202" t="s">
        <v>34</v>
      </c>
      <c r="AYQ14" s="202"/>
      <c r="AYR14" s="202"/>
      <c r="AYS14" s="202"/>
      <c r="AYT14" s="104"/>
      <c r="AYU14" s="104"/>
      <c r="AYV14" s="203" t="s">
        <v>22</v>
      </c>
      <c r="AYW14" s="203"/>
      <c r="AYX14" s="203"/>
      <c r="AYY14" s="203"/>
      <c r="AYZ14" s="129"/>
      <c r="AZA14" s="129"/>
      <c r="AZB14" s="202" t="s">
        <v>35</v>
      </c>
      <c r="AZC14" s="202"/>
      <c r="AZD14" s="202"/>
      <c r="AZE14" s="202"/>
      <c r="AZF14" s="104"/>
      <c r="AZG14" s="104"/>
      <c r="AZH14" s="203" t="s">
        <v>23</v>
      </c>
      <c r="AZI14" s="203"/>
      <c r="AZJ14" s="203"/>
      <c r="AZK14" s="203"/>
      <c r="AZL14" s="129"/>
      <c r="AZM14" s="129"/>
      <c r="AZN14" s="202" t="s">
        <v>36</v>
      </c>
      <c r="AZO14" s="202"/>
      <c r="AZP14" s="202"/>
      <c r="AZQ14" s="202"/>
      <c r="AZR14" s="104"/>
      <c r="AZS14" s="104"/>
      <c r="AZT14" s="203" t="s">
        <v>24</v>
      </c>
      <c r="AZU14" s="203"/>
      <c r="AZV14" s="203"/>
      <c r="AZW14" s="203"/>
      <c r="AZX14" s="129"/>
      <c r="AZY14" s="129"/>
      <c r="AZZ14" s="202" t="s">
        <v>37</v>
      </c>
      <c r="BAA14" s="202"/>
      <c r="BAB14" s="202"/>
      <c r="BAC14" s="202"/>
      <c r="BAD14" s="104"/>
      <c r="BAE14" s="104"/>
      <c r="BAF14" s="104"/>
      <c r="BAG14" s="105"/>
      <c r="BAH14" s="103"/>
      <c r="BAI14" s="104"/>
      <c r="BAJ14" s="104"/>
      <c r="BAK14" s="104"/>
      <c r="BAL14" s="202" t="s">
        <v>33</v>
      </c>
      <c r="BAM14" s="202"/>
      <c r="BAN14" s="202"/>
      <c r="BAO14" s="202"/>
      <c r="BAP14" s="104"/>
      <c r="BAQ14" s="104"/>
      <c r="BAR14" s="203" t="s">
        <v>21</v>
      </c>
      <c r="BAS14" s="203"/>
      <c r="BAT14" s="203"/>
      <c r="BAU14" s="203"/>
      <c r="BAV14" s="129"/>
      <c r="BAW14" s="129"/>
      <c r="BAX14" s="202" t="s">
        <v>34</v>
      </c>
      <c r="BAY14" s="202"/>
      <c r="BAZ14" s="202"/>
      <c r="BBA14" s="202"/>
      <c r="BBB14" s="104"/>
      <c r="BBC14" s="104"/>
      <c r="BBD14" s="203" t="s">
        <v>22</v>
      </c>
      <c r="BBE14" s="203"/>
      <c r="BBF14" s="203"/>
      <c r="BBG14" s="203"/>
      <c r="BBH14" s="129"/>
      <c r="BBI14" s="129"/>
      <c r="BBJ14" s="202" t="s">
        <v>35</v>
      </c>
      <c r="BBK14" s="202"/>
      <c r="BBL14" s="202"/>
      <c r="BBM14" s="202"/>
      <c r="BBN14" s="104"/>
      <c r="BBO14" s="104"/>
      <c r="BBP14" s="203" t="s">
        <v>23</v>
      </c>
      <c r="BBQ14" s="203"/>
      <c r="BBR14" s="203"/>
      <c r="BBS14" s="203"/>
      <c r="BBT14" s="129"/>
      <c r="BBU14" s="129"/>
      <c r="BBV14" s="202" t="s">
        <v>36</v>
      </c>
      <c r="BBW14" s="202"/>
      <c r="BBX14" s="202"/>
      <c r="BBY14" s="202"/>
      <c r="BBZ14" s="104"/>
      <c r="BCA14" s="104"/>
      <c r="BCB14" s="203" t="s">
        <v>24</v>
      </c>
      <c r="BCC14" s="203"/>
      <c r="BCD14" s="203"/>
      <c r="BCE14" s="203"/>
      <c r="BCF14" s="129"/>
      <c r="BCG14" s="129"/>
      <c r="BCH14" s="202" t="s">
        <v>37</v>
      </c>
      <c r="BCI14" s="202"/>
      <c r="BCJ14" s="202"/>
      <c r="BCK14" s="202"/>
      <c r="BCL14" s="104"/>
      <c r="BCM14" s="104"/>
      <c r="BCN14" s="104"/>
      <c r="BCO14" s="105"/>
      <c r="BCP14" s="103"/>
      <c r="BCQ14" s="104"/>
      <c r="BCR14" s="104"/>
      <c r="BCS14" s="104"/>
      <c r="BCT14" s="202" t="s">
        <v>33</v>
      </c>
      <c r="BCU14" s="202"/>
      <c r="BCV14" s="202"/>
      <c r="BCW14" s="202"/>
      <c r="BCX14" s="104"/>
      <c r="BCY14" s="104"/>
      <c r="BCZ14" s="203" t="s">
        <v>21</v>
      </c>
      <c r="BDA14" s="203"/>
      <c r="BDB14" s="203"/>
      <c r="BDC14" s="203"/>
      <c r="BDD14" s="129"/>
      <c r="BDE14" s="129"/>
      <c r="BDF14" s="202" t="s">
        <v>34</v>
      </c>
      <c r="BDG14" s="202"/>
      <c r="BDH14" s="202"/>
      <c r="BDI14" s="202"/>
      <c r="BDJ14" s="104"/>
      <c r="BDK14" s="104"/>
      <c r="BDL14" s="203" t="s">
        <v>22</v>
      </c>
      <c r="BDM14" s="203"/>
      <c r="BDN14" s="203"/>
      <c r="BDO14" s="203"/>
      <c r="BDP14" s="129"/>
      <c r="BDQ14" s="129"/>
      <c r="BDR14" s="202" t="s">
        <v>35</v>
      </c>
      <c r="BDS14" s="202"/>
      <c r="BDT14" s="202"/>
      <c r="BDU14" s="202"/>
      <c r="BDV14" s="104"/>
      <c r="BDW14" s="104"/>
      <c r="BDX14" s="203" t="s">
        <v>23</v>
      </c>
      <c r="BDY14" s="203"/>
      <c r="BDZ14" s="203"/>
      <c r="BEA14" s="203"/>
      <c r="BEB14" s="129"/>
      <c r="BEC14" s="129"/>
      <c r="BED14" s="202" t="s">
        <v>36</v>
      </c>
      <c r="BEE14" s="202"/>
      <c r="BEF14" s="202"/>
      <c r="BEG14" s="202"/>
      <c r="BEH14" s="104"/>
      <c r="BEI14" s="104"/>
      <c r="BEJ14" s="203" t="s">
        <v>24</v>
      </c>
      <c r="BEK14" s="203"/>
      <c r="BEL14" s="203"/>
      <c r="BEM14" s="203"/>
      <c r="BEN14" s="129"/>
      <c r="BEO14" s="129"/>
      <c r="BEP14" s="202" t="s">
        <v>37</v>
      </c>
      <c r="BEQ14" s="202"/>
      <c r="BER14" s="202"/>
      <c r="BES14" s="202"/>
      <c r="BET14" s="104"/>
      <c r="BEU14" s="104"/>
      <c r="BEV14" s="104"/>
      <c r="BEW14" s="105"/>
      <c r="BEX14" s="103"/>
      <c r="BEY14" s="104"/>
      <c r="BEZ14" s="104"/>
      <c r="BFA14" s="104"/>
      <c r="BFB14" s="202" t="s">
        <v>33</v>
      </c>
      <c r="BFC14" s="202"/>
      <c r="BFD14" s="202"/>
      <c r="BFE14" s="202"/>
      <c r="BFF14" s="104"/>
      <c r="BFG14" s="104"/>
      <c r="BFH14" s="203" t="s">
        <v>21</v>
      </c>
      <c r="BFI14" s="203"/>
      <c r="BFJ14" s="203"/>
      <c r="BFK14" s="203"/>
      <c r="BFL14" s="129"/>
      <c r="BFM14" s="129"/>
      <c r="BFN14" s="202" t="s">
        <v>34</v>
      </c>
      <c r="BFO14" s="202"/>
      <c r="BFP14" s="202"/>
      <c r="BFQ14" s="202"/>
      <c r="BFR14" s="104"/>
      <c r="BFS14" s="104"/>
      <c r="BFT14" s="203" t="s">
        <v>22</v>
      </c>
      <c r="BFU14" s="203"/>
      <c r="BFV14" s="203"/>
      <c r="BFW14" s="203"/>
      <c r="BFX14" s="129"/>
      <c r="BFY14" s="129"/>
      <c r="BFZ14" s="202" t="s">
        <v>35</v>
      </c>
      <c r="BGA14" s="202"/>
      <c r="BGB14" s="202"/>
      <c r="BGC14" s="202"/>
      <c r="BGD14" s="104"/>
      <c r="BGE14" s="104"/>
      <c r="BGF14" s="203" t="s">
        <v>23</v>
      </c>
      <c r="BGG14" s="203"/>
      <c r="BGH14" s="203"/>
      <c r="BGI14" s="203"/>
      <c r="BGJ14" s="129"/>
      <c r="BGK14" s="129"/>
      <c r="BGL14" s="202" t="s">
        <v>36</v>
      </c>
      <c r="BGM14" s="202"/>
      <c r="BGN14" s="202"/>
      <c r="BGO14" s="202"/>
      <c r="BGP14" s="104"/>
      <c r="BGQ14" s="104"/>
      <c r="BGR14" s="203" t="s">
        <v>24</v>
      </c>
      <c r="BGS14" s="203"/>
      <c r="BGT14" s="203"/>
      <c r="BGU14" s="203"/>
      <c r="BGV14" s="129"/>
      <c r="BGW14" s="129"/>
      <c r="BGX14" s="202" t="s">
        <v>37</v>
      </c>
      <c r="BGY14" s="202"/>
      <c r="BGZ14" s="202"/>
      <c r="BHA14" s="202"/>
      <c r="BHB14" s="104"/>
      <c r="BHC14" s="104"/>
      <c r="BHD14" s="104"/>
      <c r="BHE14" s="105"/>
      <c r="BHF14" s="103"/>
      <c r="BHG14" s="104"/>
      <c r="BHH14" s="104"/>
      <c r="BHI14" s="104"/>
      <c r="BHJ14" s="202" t="s">
        <v>33</v>
      </c>
      <c r="BHK14" s="202"/>
      <c r="BHL14" s="202"/>
      <c r="BHM14" s="202"/>
      <c r="BHN14" s="104"/>
      <c r="BHO14" s="104"/>
      <c r="BHP14" s="203" t="s">
        <v>21</v>
      </c>
      <c r="BHQ14" s="203"/>
      <c r="BHR14" s="203"/>
      <c r="BHS14" s="203"/>
      <c r="BHT14" s="129"/>
      <c r="BHU14" s="129"/>
      <c r="BHV14" s="202" t="s">
        <v>34</v>
      </c>
      <c r="BHW14" s="202"/>
      <c r="BHX14" s="202"/>
      <c r="BHY14" s="202"/>
      <c r="BHZ14" s="104"/>
      <c r="BIA14" s="104"/>
      <c r="BIB14" s="203" t="s">
        <v>22</v>
      </c>
      <c r="BIC14" s="203"/>
      <c r="BID14" s="203"/>
      <c r="BIE14" s="203"/>
      <c r="BIF14" s="129"/>
      <c r="BIG14" s="129"/>
      <c r="BIH14" s="202" t="s">
        <v>35</v>
      </c>
      <c r="BII14" s="202"/>
      <c r="BIJ14" s="202"/>
      <c r="BIK14" s="202"/>
      <c r="BIL14" s="104"/>
      <c r="BIM14" s="104"/>
      <c r="BIN14" s="203" t="s">
        <v>23</v>
      </c>
      <c r="BIO14" s="203"/>
      <c r="BIP14" s="203"/>
      <c r="BIQ14" s="203"/>
      <c r="BIR14" s="129"/>
      <c r="BIS14" s="129"/>
      <c r="BIT14" s="202" t="s">
        <v>36</v>
      </c>
      <c r="BIU14" s="202"/>
      <c r="BIV14" s="202"/>
      <c r="BIW14" s="202"/>
      <c r="BIX14" s="104"/>
      <c r="BIY14" s="104"/>
      <c r="BIZ14" s="203" t="s">
        <v>24</v>
      </c>
      <c r="BJA14" s="203"/>
      <c r="BJB14" s="203"/>
      <c r="BJC14" s="203"/>
      <c r="BJD14" s="129"/>
      <c r="BJE14" s="129"/>
      <c r="BJF14" s="202" t="s">
        <v>37</v>
      </c>
      <c r="BJG14" s="202"/>
      <c r="BJH14" s="202"/>
      <c r="BJI14" s="202"/>
      <c r="BJJ14" s="104"/>
      <c r="BJK14" s="104"/>
      <c r="BJL14" s="104"/>
      <c r="BJM14" s="105"/>
      <c r="BJN14" s="103"/>
      <c r="BJO14" s="104"/>
      <c r="BJP14" s="104"/>
      <c r="BJQ14" s="104"/>
      <c r="BJR14" s="202" t="s">
        <v>33</v>
      </c>
      <c r="BJS14" s="202"/>
      <c r="BJT14" s="202"/>
      <c r="BJU14" s="202"/>
      <c r="BJV14" s="104"/>
      <c r="BJW14" s="104"/>
      <c r="BJX14" s="203" t="s">
        <v>21</v>
      </c>
      <c r="BJY14" s="203"/>
      <c r="BJZ14" s="203"/>
      <c r="BKA14" s="203"/>
      <c r="BKB14" s="129"/>
      <c r="BKC14" s="129"/>
      <c r="BKD14" s="202" t="s">
        <v>34</v>
      </c>
      <c r="BKE14" s="202"/>
      <c r="BKF14" s="202"/>
      <c r="BKG14" s="202"/>
      <c r="BKH14" s="104"/>
      <c r="BKI14" s="104"/>
      <c r="BKJ14" s="203" t="s">
        <v>22</v>
      </c>
      <c r="BKK14" s="203"/>
      <c r="BKL14" s="203"/>
      <c r="BKM14" s="203"/>
      <c r="BKN14" s="129"/>
      <c r="BKO14" s="129"/>
      <c r="BKP14" s="202" t="s">
        <v>35</v>
      </c>
      <c r="BKQ14" s="202"/>
      <c r="BKR14" s="202"/>
      <c r="BKS14" s="202"/>
      <c r="BKT14" s="104"/>
      <c r="BKU14" s="104"/>
      <c r="BKV14" s="203" t="s">
        <v>23</v>
      </c>
      <c r="BKW14" s="203"/>
      <c r="BKX14" s="203"/>
      <c r="BKY14" s="203"/>
      <c r="BKZ14" s="129"/>
      <c r="BLA14" s="129"/>
      <c r="BLB14" s="202" t="s">
        <v>36</v>
      </c>
      <c r="BLC14" s="202"/>
      <c r="BLD14" s="202"/>
      <c r="BLE14" s="202"/>
      <c r="BLF14" s="104"/>
      <c r="BLG14" s="104"/>
      <c r="BLH14" s="203" t="s">
        <v>24</v>
      </c>
      <c r="BLI14" s="203"/>
      <c r="BLJ14" s="203"/>
      <c r="BLK14" s="203"/>
      <c r="BLL14" s="129"/>
      <c r="BLM14" s="129"/>
      <c r="BLN14" s="202" t="s">
        <v>37</v>
      </c>
      <c r="BLO14" s="202"/>
      <c r="BLP14" s="202"/>
      <c r="BLQ14" s="202"/>
      <c r="BLR14" s="104"/>
      <c r="BLS14" s="104"/>
      <c r="BLT14" s="104"/>
      <c r="BLU14" s="105"/>
      <c r="BLV14" s="90"/>
    </row>
    <row r="15" spans="1:1686" ht="20.100000000000001" customHeight="1" x14ac:dyDescent="0.25">
      <c r="A15" s="100" t="s">
        <v>17</v>
      </c>
      <c r="B15" s="63" t="str">
        <f>IF(LEN(C15)=0,"",C15)</f>
        <v xml:space="preserve">Absences - imprévus </v>
      </c>
      <c r="C15" s="189"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89"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1"/>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89"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0"/>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89"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0"/>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89"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0"/>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89"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0"/>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89"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89"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0"/>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89"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0"/>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89"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0"/>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89"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89"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89"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89"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89"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89"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0"/>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89"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0"/>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89"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89"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89"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89"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89"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89"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8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8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8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8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8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8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8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8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8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8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8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8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8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8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8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8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8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4" t="s">
        <v>5</v>
      </c>
      <c r="D95" s="205"/>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6"/>
      <c r="D96" s="207"/>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8" t="s">
        <v>6</v>
      </c>
      <c r="D97" s="209"/>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0"/>
      <c r="D98" s="211"/>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51" zoomScaleNormal="100" zoomScaleSheetLayoutView="98" zoomScalePageLayoutView="70" workbookViewId="0">
      <selection activeCell="D163" sqref="D16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30"/>
      <c r="F4" s="231"/>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30"/>
      <c r="F16" s="231"/>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30"/>
      <c r="F28" s="231"/>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30"/>
      <c r="F40" s="231"/>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30"/>
      <c r="F52" s="231"/>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30"/>
      <c r="F64" s="231"/>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30"/>
      <c r="F76" s="231"/>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30"/>
      <c r="F88" s="231"/>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30"/>
      <c r="F100" s="231"/>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30"/>
      <c r="F112" s="231"/>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30"/>
      <c r="F124" s="231"/>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30"/>
      <c r="F136" s="231"/>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30"/>
      <c r="F148" s="231"/>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30"/>
      <c r="F160" s="231"/>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30"/>
      <c r="F172" s="231"/>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30"/>
      <c r="F184" s="231"/>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30"/>
      <c r="F196" s="231"/>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30"/>
      <c r="F208" s="231"/>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30"/>
      <c r="F220" s="231"/>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30"/>
      <c r="F232" s="231"/>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30"/>
      <c r="F244" s="231"/>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30"/>
      <c r="F256" s="231"/>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30"/>
      <c r="F268" s="231"/>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30"/>
      <c r="F280" s="231"/>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30"/>
      <c r="F292" s="231"/>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2"/>
      <c r="F304" s="231"/>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29"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30"/>
      <c r="F328" s="231"/>
      <c r="G328" s="51"/>
    </row>
    <row r="329" spans="1:7" s="52" customFormat="1" x14ac:dyDescent="0.3">
      <c r="A329" s="53" t="s">
        <v>29</v>
      </c>
      <c r="B329" s="54">
        <v>28</v>
      </c>
      <c r="C329" s="153" t="str">
        <f t="shared" ref="C329:C335" si="27" xml:space="preserve"> IF(B329="","",setValueToTime(B329))</f>
        <v>2h20min</v>
      </c>
      <c r="D329" s="55" t="s">
        <v>90</v>
      </c>
      <c r="E329" s="229"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174" activePane="bottomLeft" state="frozen"/>
      <selection pane="bottomLeft" activeCell="D179" sqref="D179"/>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30"/>
      <c r="F4" s="231"/>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30"/>
      <c r="F16" s="231"/>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30"/>
      <c r="F28" s="231"/>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30"/>
      <c r="F40" s="231"/>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30"/>
      <c r="F52" s="231"/>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30"/>
      <c r="F64" s="231"/>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30"/>
      <c r="F76" s="231"/>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30"/>
      <c r="F88" s="231"/>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30"/>
      <c r="F100" s="231"/>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30"/>
      <c r="F112" s="231"/>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30"/>
      <c r="F124" s="231"/>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30"/>
      <c r="F136" s="231"/>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30"/>
      <c r="F148" s="231"/>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30"/>
      <c r="F160" s="231"/>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ht="27" x14ac:dyDescent="0.3">
      <c r="A172" s="48" t="s">
        <v>117</v>
      </c>
      <c r="B172" s="49">
        <v>3</v>
      </c>
      <c r="C172" s="152" t="str">
        <f xml:space="preserve"> IF(B172="","",setValueToTime(B172))</f>
        <v>0h15min</v>
      </c>
      <c r="D172" s="50" t="s">
        <v>248</v>
      </c>
      <c r="E172" s="230"/>
      <c r="F172" s="231"/>
      <c r="G172" s="51"/>
    </row>
    <row r="173" spans="1:7" s="52" customFormat="1" ht="27" x14ac:dyDescent="0.3">
      <c r="A173" s="53" t="s">
        <v>156</v>
      </c>
      <c r="B173" s="54">
        <v>3</v>
      </c>
      <c r="C173" s="153" t="str">
        <f t="shared" ref="C173:C179" si="14" xml:space="preserve"> IF(B173="","",setValueToTime(B173))</f>
        <v>0h15min</v>
      </c>
      <c r="D173" s="55" t="s">
        <v>249</v>
      </c>
      <c r="E173" s="221"/>
      <c r="F173" s="222"/>
      <c r="G173" s="51"/>
    </row>
    <row r="174" spans="1:7" s="52" customFormat="1" ht="27" x14ac:dyDescent="0.3">
      <c r="A174" s="53" t="s">
        <v>124</v>
      </c>
      <c r="B174" s="54">
        <v>12</v>
      </c>
      <c r="C174" s="153" t="str">
        <f t="shared" si="14"/>
        <v>1h</v>
      </c>
      <c r="D174" s="55" t="s">
        <v>250</v>
      </c>
      <c r="E174" s="221"/>
      <c r="F174" s="222"/>
      <c r="G174" s="51"/>
    </row>
    <row r="175" spans="1:7" s="52" customFormat="1" ht="54" x14ac:dyDescent="0.3">
      <c r="A175" s="53" t="s">
        <v>116</v>
      </c>
      <c r="B175" s="54">
        <v>18</v>
      </c>
      <c r="C175" s="153" t="str">
        <f t="shared" si="14"/>
        <v>1h30min</v>
      </c>
      <c r="D175" s="55" t="s">
        <v>251</v>
      </c>
      <c r="E175" s="221"/>
      <c r="F175" s="222"/>
      <c r="G175" s="51"/>
    </row>
    <row r="176" spans="1:7" s="52" customFormat="1" ht="40.5" x14ac:dyDescent="0.3">
      <c r="A176" s="54" t="s">
        <v>152</v>
      </c>
      <c r="B176" s="54">
        <v>1</v>
      </c>
      <c r="C176" s="154" t="str">
        <f t="shared" si="14"/>
        <v>0h5min</v>
      </c>
      <c r="D176" s="55" t="s">
        <v>252</v>
      </c>
      <c r="E176" s="221"/>
      <c r="F176" s="222"/>
      <c r="G176" s="51"/>
    </row>
    <row r="177" spans="1:7" s="52" customFormat="1" ht="40.5" x14ac:dyDescent="0.3">
      <c r="A177" s="54" t="s">
        <v>152</v>
      </c>
      <c r="B177" s="54">
        <v>2</v>
      </c>
      <c r="C177" s="154" t="str">
        <f t="shared" si="14"/>
        <v>0h10min</v>
      </c>
      <c r="D177" s="55" t="s">
        <v>253</v>
      </c>
      <c r="E177" s="221"/>
      <c r="F177" s="222"/>
      <c r="G177" s="51"/>
    </row>
    <row r="178" spans="1:7" s="52" customFormat="1" x14ac:dyDescent="0.3">
      <c r="A178" s="54" t="s">
        <v>129</v>
      </c>
      <c r="B178" s="54">
        <v>7</v>
      </c>
      <c r="C178" s="154" t="str">
        <f t="shared" si="14"/>
        <v>0h35min</v>
      </c>
      <c r="D178" s="55" t="s">
        <v>254</v>
      </c>
      <c r="E178" s="221"/>
      <c r="F178" s="222"/>
      <c r="G178" s="51"/>
    </row>
    <row r="179" spans="1:7" s="52" customFormat="1" ht="141" customHeight="1" thickBot="1" x14ac:dyDescent="0.35">
      <c r="A179" s="56" t="s">
        <v>14</v>
      </c>
      <c r="B179" s="56">
        <v>2</v>
      </c>
      <c r="C179" s="155" t="str">
        <f t="shared" si="14"/>
        <v>0h10min</v>
      </c>
      <c r="D179" s="57"/>
      <c r="E179" s="223" t="s">
        <v>255</v>
      </c>
      <c r="F179" s="224"/>
      <c r="G179" s="51"/>
    </row>
    <row r="180" spans="1:7" s="52" customFormat="1" ht="15" thickBot="1" x14ac:dyDescent="0.35">
      <c r="A180" s="162" t="s">
        <v>26</v>
      </c>
      <c r="B180" s="83">
        <f>SUM(B172:B179)</f>
        <v>48</v>
      </c>
      <c r="C180" s="162" t="str">
        <f xml:space="preserve"> setValueToTime(B180)</f>
        <v>4h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ht="27" x14ac:dyDescent="0.3">
      <c r="A184" s="48" t="s">
        <v>117</v>
      </c>
      <c r="B184" s="49">
        <v>5</v>
      </c>
      <c r="C184" s="152" t="str">
        <f xml:space="preserve"> IF(B184="","",setValueToTime(B184))</f>
        <v>0h25min</v>
      </c>
      <c r="D184" s="50" t="s">
        <v>240</v>
      </c>
      <c r="E184" s="230"/>
      <c r="F184" s="231"/>
      <c r="G184" s="51"/>
    </row>
    <row r="185" spans="1:7" s="52" customFormat="1" ht="27" x14ac:dyDescent="0.3">
      <c r="A185" s="53" t="s">
        <v>117</v>
      </c>
      <c r="B185" s="54">
        <v>4</v>
      </c>
      <c r="C185" s="153" t="str">
        <f t="shared" ref="C185:C191" si="15" xml:space="preserve"> IF(B185="","",setValueToTime(B185))</f>
        <v>0h20min</v>
      </c>
      <c r="D185" s="55" t="s">
        <v>241</v>
      </c>
      <c r="E185" s="221"/>
      <c r="F185" s="222"/>
      <c r="G185" s="51"/>
    </row>
    <row r="186" spans="1:7" s="52" customFormat="1" x14ac:dyDescent="0.3">
      <c r="A186" s="53" t="s">
        <v>181</v>
      </c>
      <c r="B186" s="54">
        <v>2</v>
      </c>
      <c r="C186" s="153" t="str">
        <f t="shared" si="15"/>
        <v>0h10min</v>
      </c>
      <c r="D186" s="55" t="s">
        <v>242</v>
      </c>
      <c r="E186" s="221"/>
      <c r="F186" s="222"/>
      <c r="G186" s="51"/>
    </row>
    <row r="187" spans="1:7" s="52" customFormat="1" ht="27" x14ac:dyDescent="0.3">
      <c r="A187" s="53" t="s">
        <v>117</v>
      </c>
      <c r="B187" s="54">
        <v>4</v>
      </c>
      <c r="C187" s="153" t="str">
        <f t="shared" si="15"/>
        <v>0h20min</v>
      </c>
      <c r="D187" s="55" t="s">
        <v>243</v>
      </c>
      <c r="E187" s="221"/>
      <c r="F187" s="222"/>
      <c r="G187" s="51"/>
    </row>
    <row r="188" spans="1:7" s="52" customFormat="1" ht="27" x14ac:dyDescent="0.3">
      <c r="A188" s="54" t="s">
        <v>117</v>
      </c>
      <c r="B188" s="54">
        <v>6</v>
      </c>
      <c r="C188" s="154" t="str">
        <f t="shared" si="15"/>
        <v>0h30min</v>
      </c>
      <c r="D188" s="55" t="s">
        <v>244</v>
      </c>
      <c r="E188" s="221"/>
      <c r="F188" s="222"/>
      <c r="G188" s="51"/>
    </row>
    <row r="189" spans="1:7" s="52" customFormat="1" ht="27" x14ac:dyDescent="0.3">
      <c r="A189" s="54" t="s">
        <v>156</v>
      </c>
      <c r="B189" s="54">
        <v>2</v>
      </c>
      <c r="C189" s="154" t="str">
        <f t="shared" si="15"/>
        <v>0h10min</v>
      </c>
      <c r="D189" s="55" t="s">
        <v>245</v>
      </c>
      <c r="E189" s="221"/>
      <c r="F189" s="222"/>
      <c r="G189" s="51"/>
    </row>
    <row r="190" spans="1:7" s="52" customFormat="1" ht="27" x14ac:dyDescent="0.3">
      <c r="A190" s="54" t="s">
        <v>95</v>
      </c>
      <c r="B190" s="54">
        <v>2</v>
      </c>
      <c r="C190" s="154" t="str">
        <f t="shared" si="15"/>
        <v>0h10min</v>
      </c>
      <c r="D190" s="55"/>
      <c r="E190" s="221"/>
      <c r="F190" s="222"/>
      <c r="G190" s="51"/>
    </row>
    <row r="191" spans="1:7" s="52" customFormat="1" ht="73.5" customHeight="1" thickBot="1" x14ac:dyDescent="0.35">
      <c r="A191" s="56" t="s">
        <v>124</v>
      </c>
      <c r="B191" s="56">
        <v>3</v>
      </c>
      <c r="C191" s="155" t="str">
        <f t="shared" si="15"/>
        <v>0h15min</v>
      </c>
      <c r="D191" s="57" t="s">
        <v>246</v>
      </c>
      <c r="E191" s="223" t="s">
        <v>247</v>
      </c>
      <c r="F191" s="224"/>
      <c r="G191" s="51"/>
    </row>
    <row r="192" spans="1:7" s="52" customFormat="1" ht="15" thickBot="1" x14ac:dyDescent="0.35">
      <c r="A192" s="162" t="s">
        <v>26</v>
      </c>
      <c r="B192" s="83">
        <f>SUM(B184:B191)</f>
        <v>28</v>
      </c>
      <c r="C192" s="162" t="str">
        <f xml:space="preserve"> setValueToTime(B192)</f>
        <v>2h20min</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t="s">
        <v>13</v>
      </c>
      <c r="B196" s="49">
        <v>14</v>
      </c>
      <c r="C196" s="152" t="str">
        <f xml:space="preserve"> IF(B196="","",setValueToTime(B196))</f>
        <v>1h10min</v>
      </c>
      <c r="D196" s="50" t="s">
        <v>232</v>
      </c>
      <c r="E196" s="230"/>
      <c r="F196" s="231"/>
      <c r="G196" s="51"/>
    </row>
    <row r="197" spans="1:7" s="52" customFormat="1" ht="27" x14ac:dyDescent="0.3">
      <c r="A197" s="53" t="s">
        <v>14</v>
      </c>
      <c r="B197" s="54">
        <v>2</v>
      </c>
      <c r="C197" s="153" t="str">
        <f t="shared" ref="C197:C203" si="16" xml:space="preserve"> IF(B197="","",setValueToTime(B197))</f>
        <v>0h10min</v>
      </c>
      <c r="D197" s="55" t="s">
        <v>95</v>
      </c>
      <c r="E197" s="221"/>
      <c r="F197" s="222"/>
      <c r="G197" s="51"/>
    </row>
    <row r="198" spans="1:7" s="52" customFormat="1" ht="27" x14ac:dyDescent="0.3">
      <c r="A198" s="53" t="s">
        <v>117</v>
      </c>
      <c r="B198" s="54">
        <v>4</v>
      </c>
      <c r="C198" s="153" t="str">
        <f t="shared" si="16"/>
        <v>0h20min</v>
      </c>
      <c r="D198" s="55" t="s">
        <v>233</v>
      </c>
      <c r="E198" s="221"/>
      <c r="F198" s="222"/>
      <c r="G198" s="51"/>
    </row>
    <row r="199" spans="1:7" s="52" customFormat="1" ht="27" x14ac:dyDescent="0.3">
      <c r="A199" s="53" t="s">
        <v>117</v>
      </c>
      <c r="B199" s="54">
        <v>5</v>
      </c>
      <c r="C199" s="153" t="str">
        <f t="shared" si="16"/>
        <v>0h25min</v>
      </c>
      <c r="D199" s="55" t="s">
        <v>234</v>
      </c>
      <c r="E199" s="221"/>
      <c r="F199" s="222"/>
      <c r="G199" s="51"/>
    </row>
    <row r="200" spans="1:7" s="52" customFormat="1" ht="27" x14ac:dyDescent="0.3">
      <c r="A200" s="54" t="s">
        <v>117</v>
      </c>
      <c r="B200" s="54">
        <v>3</v>
      </c>
      <c r="C200" s="154" t="str">
        <f t="shared" si="16"/>
        <v>0h15min</v>
      </c>
      <c r="D200" s="55" t="s">
        <v>235</v>
      </c>
      <c r="E200" s="221"/>
      <c r="F200" s="222"/>
      <c r="G200" s="51"/>
    </row>
    <row r="201" spans="1:7" s="52" customFormat="1" ht="27" x14ac:dyDescent="0.3">
      <c r="A201" s="54" t="s">
        <v>117</v>
      </c>
      <c r="B201" s="54">
        <v>6</v>
      </c>
      <c r="C201" s="154" t="str">
        <f t="shared" si="16"/>
        <v>0h30min</v>
      </c>
      <c r="D201" s="55" t="s">
        <v>236</v>
      </c>
      <c r="E201" s="221"/>
      <c r="F201" s="222"/>
      <c r="G201" s="51"/>
    </row>
    <row r="202" spans="1:7" s="52" customFormat="1" ht="27" x14ac:dyDescent="0.3">
      <c r="A202" s="54" t="s">
        <v>117</v>
      </c>
      <c r="B202" s="54">
        <v>2</v>
      </c>
      <c r="C202" s="154" t="str">
        <f t="shared" si="16"/>
        <v>0h10min</v>
      </c>
      <c r="D202" s="55" t="s">
        <v>238</v>
      </c>
      <c r="E202" s="221"/>
      <c r="F202" s="222"/>
      <c r="G202" s="51"/>
    </row>
    <row r="203" spans="1:7" s="52" customFormat="1" ht="108.75" customHeight="1" thickBot="1" x14ac:dyDescent="0.35">
      <c r="A203" s="56" t="s">
        <v>172</v>
      </c>
      <c r="B203" s="56">
        <v>2</v>
      </c>
      <c r="C203" s="155" t="str">
        <f t="shared" si="16"/>
        <v>0h10min</v>
      </c>
      <c r="D203" s="57" t="s">
        <v>237</v>
      </c>
      <c r="E203" s="223" t="s">
        <v>239</v>
      </c>
      <c r="F203" s="224"/>
      <c r="G203" s="51"/>
    </row>
    <row r="204" spans="1:7" s="52" customFormat="1" ht="15" thickBot="1" x14ac:dyDescent="0.35">
      <c r="A204" s="162" t="s">
        <v>26</v>
      </c>
      <c r="B204" s="83">
        <f>SUM(B196:B203)</f>
        <v>38</v>
      </c>
      <c r="C204" s="162" t="str">
        <f xml:space="preserve"> setValueToTime(B204)</f>
        <v>3h10min</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4</v>
      </c>
      <c r="C208" s="152" t="str">
        <f xml:space="preserve"> IF(B208="","",setValueToTime(B208))</f>
        <v>0h20min</v>
      </c>
      <c r="D208" s="50" t="s">
        <v>225</v>
      </c>
      <c r="E208" s="230"/>
      <c r="F208" s="231"/>
      <c r="G208" s="51"/>
    </row>
    <row r="209" spans="1:7" s="52" customFormat="1" ht="40.5" x14ac:dyDescent="0.3">
      <c r="A209" s="53" t="s">
        <v>13</v>
      </c>
      <c r="B209" s="54">
        <v>26</v>
      </c>
      <c r="C209" s="153" t="str">
        <f t="shared" ref="C209:C215" si="17" xml:space="preserve"> IF(B209="","",setValueToTime(B209))</f>
        <v>2h10min</v>
      </c>
      <c r="D209" s="55" t="s">
        <v>229</v>
      </c>
      <c r="E209" s="221"/>
      <c r="F209" s="222"/>
      <c r="G209" s="51"/>
    </row>
    <row r="210" spans="1:7" s="52" customFormat="1" ht="27" x14ac:dyDescent="0.3">
      <c r="A210" s="53" t="s">
        <v>113</v>
      </c>
      <c r="B210" s="54">
        <v>6</v>
      </c>
      <c r="C210" s="153" t="str">
        <f t="shared" si="17"/>
        <v>0h30min</v>
      </c>
      <c r="D210" s="55" t="s">
        <v>226</v>
      </c>
      <c r="E210" s="229" t="s">
        <v>230</v>
      </c>
      <c r="F210" s="222"/>
      <c r="G210" s="51"/>
    </row>
    <row r="211" spans="1:7" s="52" customFormat="1" ht="27" x14ac:dyDescent="0.3">
      <c r="A211" s="53" t="s">
        <v>94</v>
      </c>
      <c r="B211" s="54">
        <v>2</v>
      </c>
      <c r="C211" s="153" t="str">
        <f t="shared" si="17"/>
        <v>0h10min</v>
      </c>
      <c r="D211" s="55" t="s">
        <v>228</v>
      </c>
      <c r="E211" s="229" t="s">
        <v>227</v>
      </c>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62" customHeight="1" thickBot="1" x14ac:dyDescent="0.35">
      <c r="A215" s="56"/>
      <c r="B215" s="56"/>
      <c r="C215" s="155" t="str">
        <f t="shared" si="17"/>
        <v/>
      </c>
      <c r="D215" s="57"/>
      <c r="E215" s="223" t="s">
        <v>231</v>
      </c>
      <c r="F215" s="224"/>
      <c r="G215" s="51"/>
    </row>
    <row r="216" spans="1:7" s="52" customFormat="1" ht="15" thickBot="1" x14ac:dyDescent="0.35">
      <c r="A216" s="162" t="s">
        <v>26</v>
      </c>
      <c r="B216" s="83">
        <f>SUM(B208:B215)</f>
        <v>38</v>
      </c>
      <c r="C216" s="162" t="str">
        <f xml:space="preserve"> setValueToTime(B216)</f>
        <v>3h10min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221</v>
      </c>
      <c r="E220" s="230"/>
      <c r="F220" s="231"/>
      <c r="G220" s="51"/>
    </row>
    <row r="221" spans="1:7" s="52" customFormat="1" ht="27" x14ac:dyDescent="0.3">
      <c r="A221" s="53" t="s">
        <v>113</v>
      </c>
      <c r="B221" s="54">
        <v>2</v>
      </c>
      <c r="C221" s="153" t="str">
        <f t="shared" ref="C221:C227" si="18" xml:space="preserve"> IF(B221="","",setValueToTime(B221))</f>
        <v>0h10min</v>
      </c>
      <c r="D221" s="55" t="s">
        <v>220</v>
      </c>
      <c r="E221" s="221"/>
      <c r="F221" s="222"/>
      <c r="G221" s="51"/>
    </row>
    <row r="222" spans="1:7" s="52" customFormat="1" ht="27" x14ac:dyDescent="0.3">
      <c r="A222" s="53" t="s">
        <v>135</v>
      </c>
      <c r="B222" s="54">
        <v>6</v>
      </c>
      <c r="C222" s="153" t="str">
        <f t="shared" si="18"/>
        <v>0h30min</v>
      </c>
      <c r="D222" s="55" t="s">
        <v>222</v>
      </c>
      <c r="E222" s="221"/>
      <c r="F222" s="222"/>
      <c r="G222" s="51"/>
    </row>
    <row r="223" spans="1:7" s="52" customFormat="1" ht="40.5" x14ac:dyDescent="0.3">
      <c r="A223" s="53" t="s">
        <v>117</v>
      </c>
      <c r="B223" s="54">
        <v>10</v>
      </c>
      <c r="C223" s="153" t="str">
        <f t="shared" si="18"/>
        <v>0h50min</v>
      </c>
      <c r="D223" s="55" t="s">
        <v>223</v>
      </c>
      <c r="E223" s="221"/>
      <c r="F223" s="222"/>
      <c r="G223" s="51"/>
    </row>
    <row r="224" spans="1:7" s="52" customFormat="1" ht="108" x14ac:dyDescent="0.3">
      <c r="A224" s="54" t="s">
        <v>156</v>
      </c>
      <c r="B224" s="54">
        <v>6</v>
      </c>
      <c r="C224" s="154" t="str">
        <f t="shared" si="18"/>
        <v>0h30min</v>
      </c>
      <c r="D224" s="55" t="s">
        <v>219</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224</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212</v>
      </c>
      <c r="E232" s="230"/>
      <c r="F232" s="231"/>
      <c r="G232" s="51"/>
    </row>
    <row r="233" spans="1:7" s="52" customFormat="1" ht="43.5" customHeight="1" x14ac:dyDescent="0.3">
      <c r="A233" s="53" t="s">
        <v>172</v>
      </c>
      <c r="B233" s="54">
        <v>9</v>
      </c>
      <c r="C233" s="153" t="str">
        <f t="shared" ref="C233:C239" si="19" xml:space="preserve"> IF(B233="","",setValueToTime(B233))</f>
        <v>0h45min</v>
      </c>
      <c r="D233" s="55" t="s">
        <v>213</v>
      </c>
      <c r="E233" s="221" t="s">
        <v>214</v>
      </c>
      <c r="F233" s="222"/>
      <c r="G233" s="51"/>
    </row>
    <row r="234" spans="1:7" s="52" customFormat="1" x14ac:dyDescent="0.3">
      <c r="A234" s="53" t="s">
        <v>112</v>
      </c>
      <c r="B234" s="54">
        <v>6</v>
      </c>
      <c r="C234" s="153" t="str">
        <f t="shared" si="19"/>
        <v>0h30min</v>
      </c>
      <c r="D234" s="55" t="s">
        <v>216</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217</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218</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206</v>
      </c>
      <c r="E244" s="230"/>
      <c r="F244" s="231"/>
      <c r="G244" s="51"/>
    </row>
    <row r="245" spans="1:7" s="52" customFormat="1" ht="27" x14ac:dyDescent="0.3">
      <c r="A245" s="53" t="s">
        <v>152</v>
      </c>
      <c r="B245" s="54">
        <v>1</v>
      </c>
      <c r="C245" s="153" t="str">
        <f xml:space="preserve"> IF(B245="","",setValueToTime(B245))</f>
        <v>0h5min</v>
      </c>
      <c r="D245" s="55" t="s">
        <v>207</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208</v>
      </c>
      <c r="E247" s="221"/>
      <c r="F247" s="222"/>
      <c r="G247" s="51"/>
    </row>
    <row r="248" spans="1:7" s="52" customFormat="1" x14ac:dyDescent="0.3">
      <c r="A248" s="54" t="s">
        <v>112</v>
      </c>
      <c r="B248" s="54">
        <v>6</v>
      </c>
      <c r="C248" s="154" t="str">
        <f t="shared" si="20"/>
        <v>0h30min</v>
      </c>
      <c r="D248" s="55" t="s">
        <v>209</v>
      </c>
      <c r="E248" s="221"/>
      <c r="F248" s="222"/>
      <c r="G248" s="51"/>
    </row>
    <row r="249" spans="1:7" s="52" customFormat="1" x14ac:dyDescent="0.3">
      <c r="A249" s="54" t="s">
        <v>112</v>
      </c>
      <c r="B249" s="54">
        <v>6</v>
      </c>
      <c r="C249" s="154" t="str">
        <f t="shared" si="20"/>
        <v>0h30min</v>
      </c>
      <c r="D249" s="55" t="s">
        <v>210</v>
      </c>
      <c r="E249" s="221"/>
      <c r="F249" s="222"/>
      <c r="G249" s="51"/>
    </row>
    <row r="250" spans="1:7" s="52" customFormat="1" x14ac:dyDescent="0.3">
      <c r="A250" s="54" t="s">
        <v>112</v>
      </c>
      <c r="B250" s="54">
        <v>6</v>
      </c>
      <c r="C250" s="154" t="str">
        <f t="shared" si="20"/>
        <v>0h30min</v>
      </c>
      <c r="D250" s="55" t="s">
        <v>211</v>
      </c>
      <c r="E250" s="221"/>
      <c r="F250" s="222"/>
      <c r="G250" s="51"/>
    </row>
    <row r="251" spans="1:7" s="52" customFormat="1" ht="123" customHeight="1" thickBot="1" x14ac:dyDescent="0.35">
      <c r="A251" s="56"/>
      <c r="B251" s="56"/>
      <c r="C251" s="155" t="str">
        <f t="shared" si="20"/>
        <v/>
      </c>
      <c r="D251" s="57"/>
      <c r="E251" s="223" t="s">
        <v>215</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2"/>
      <c r="F256" s="238"/>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30" t="s">
        <v>195</v>
      </c>
      <c r="F268" s="231"/>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29"/>
      <c r="F270" s="237"/>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30"/>
      <c r="F280" s="231"/>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29"/>
      <c r="F282" s="237"/>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30" t="s">
        <v>185</v>
      </c>
      <c r="F292" s="231"/>
      <c r="G292" s="51"/>
    </row>
    <row r="293" spans="1:7" s="52" customFormat="1" x14ac:dyDescent="0.3">
      <c r="A293" s="53" t="s">
        <v>13</v>
      </c>
      <c r="B293" s="54">
        <v>25</v>
      </c>
      <c r="C293" s="153" t="str">
        <f t="shared" ref="C293:C299" si="24" xml:space="preserve"> IF(B293="","",setValueToTime(B293))</f>
        <v>2h5min</v>
      </c>
      <c r="D293" s="55" t="s">
        <v>187</v>
      </c>
      <c r="E293" s="229"/>
      <c r="F293" s="237"/>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2" t="s">
        <v>180</v>
      </c>
      <c r="F304" s="231"/>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29"/>
      <c r="F306" s="237"/>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29"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30"/>
      <c r="F328" s="231"/>
      <c r="G328" s="51"/>
    </row>
    <row r="329" spans="1:7" s="52" customFormat="1" ht="27" x14ac:dyDescent="0.3">
      <c r="A329" s="53" t="s">
        <v>29</v>
      </c>
      <c r="B329" s="54">
        <v>28</v>
      </c>
      <c r="C329" s="153" t="str">
        <f t="shared" ref="C329" si="28" xml:space="preserve"> IF(B329="","",setValueToTime(B329))</f>
        <v>2h20min</v>
      </c>
      <c r="D329" s="55" t="s">
        <v>90</v>
      </c>
      <c r="E329" s="229"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211" r:id="rId4" location=":~:text=In%20MySQL%2C%20ENUM%20is%20a%20data%20type.%20It,software%20development%20for%20a%20valid%20list%20of%20values." xr:uid="{608DBC06-8887-4341-AF80-9939E63FAEBA}"/>
    <hyperlink ref="E210" r:id="rId5" xr:uid="{84EA4C74-EEBA-4EFF-AB37-3644A560A345}"/>
  </hyperlinks>
  <printOptions horizontalCentered="1" verticalCentered="1"/>
  <pageMargins left="0.78740157480314965" right="0.78740157480314965" top="0.98425196850393704" bottom="0.98425196850393704" header="0.51181102362204722" footer="0.51181102362204722"/>
  <pageSetup paperSize="9" scale="24"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90"/>
    </row>
    <row r="11" spans="1:61" ht="18" x14ac:dyDescent="0.25">
      <c r="A11" s="219"/>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90"/>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90"/>
    </row>
    <row r="13" spans="1:61" ht="18.75" thickBot="1" x14ac:dyDescent="0.3">
      <c r="A13" s="216" t="s">
        <v>9</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90"/>
    </row>
    <row r="14" spans="1:61" ht="15.75" thickBot="1" x14ac:dyDescent="0.35">
      <c r="A14" s="103"/>
      <c r="B14" s="104"/>
      <c r="C14" s="104"/>
      <c r="D14" s="104"/>
      <c r="E14" s="202" t="s">
        <v>33</v>
      </c>
      <c r="F14" s="202"/>
      <c r="G14" s="202"/>
      <c r="H14" s="202"/>
      <c r="I14" s="104"/>
      <c r="J14" s="104"/>
      <c r="K14" s="203" t="s">
        <v>21</v>
      </c>
      <c r="L14" s="203"/>
      <c r="M14" s="203"/>
      <c r="N14" s="203"/>
      <c r="O14" s="129"/>
      <c r="P14" s="129"/>
      <c r="Q14" s="202" t="s">
        <v>34</v>
      </c>
      <c r="R14" s="202"/>
      <c r="S14" s="202"/>
      <c r="T14" s="202"/>
      <c r="U14" s="104"/>
      <c r="V14" s="104"/>
      <c r="W14" s="203" t="s">
        <v>22</v>
      </c>
      <c r="X14" s="203"/>
      <c r="Y14" s="203"/>
      <c r="Z14" s="203"/>
      <c r="AA14" s="129"/>
      <c r="AB14" s="129"/>
      <c r="AC14" s="202" t="s">
        <v>35</v>
      </c>
      <c r="AD14" s="202"/>
      <c r="AE14" s="202"/>
      <c r="AF14" s="202"/>
      <c r="AG14" s="104"/>
      <c r="AH14" s="104"/>
      <c r="AI14" s="203" t="s">
        <v>23</v>
      </c>
      <c r="AJ14" s="203"/>
      <c r="AK14" s="203"/>
      <c r="AL14" s="203"/>
      <c r="AM14" s="129"/>
      <c r="AN14" s="129"/>
      <c r="AO14" s="202" t="s">
        <v>36</v>
      </c>
      <c r="AP14" s="202"/>
      <c r="AQ14" s="202"/>
      <c r="AR14" s="202"/>
      <c r="AS14" s="104"/>
      <c r="AT14" s="104"/>
      <c r="AU14" s="203" t="s">
        <v>24</v>
      </c>
      <c r="AV14" s="203"/>
      <c r="AW14" s="203"/>
      <c r="AX14" s="203"/>
      <c r="AY14" s="129"/>
      <c r="AZ14" s="129"/>
      <c r="BA14" s="202" t="s">
        <v>37</v>
      </c>
      <c r="BB14" s="202"/>
      <c r="BC14" s="202"/>
      <c r="BD14" s="20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2023-05-23T14:30:26Z</cp:lastPrinted>
  <dcterms:created xsi:type="dcterms:W3CDTF">1996-10-21T11:03:58Z</dcterms:created>
  <dcterms:modified xsi:type="dcterms:W3CDTF">2023-05-25T11:14:48Z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