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21BBE266-BF0D-4DFB-A6E7-4425B094BF67}"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228"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40"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<sst xmlns="http://schemas.openxmlformats.org/spreadsheetml/2006/main" count="1284" uniqueCount="216">
  <si>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</si>
  <si>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</si>
  <si>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</si>
  <si>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</si>
  <si>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</si>
  <si>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</si>
  <si>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</si>
  <si>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</si>
  <si>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</si>
  <si>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</si>
  <si>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</si>
  <si>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</si>
  <si>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</si>
  <si>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</si>
  <si>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</si>
  <si>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</si>
  <si>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</si>
  <si>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</si>
  <si>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</si>
  <si>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</si>
  <si>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</si>
  <si>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</si>
  <si>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</si>
  <si>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</si>
  <si>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</si>
  <si>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</si>
  <si>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</si>
  <si>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</si>
  <si>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</si>
  <si>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</si>
  <si>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</si>
  <si>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</si>
  <si>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</si>
  <si>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</si>
  <si>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</si>
  <si>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</si>
  <si>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</si>
  <si>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</si>
  <si>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</si>
  <si>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</si>
  <si>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</si>
  <si>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</si>
  <si>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</si>
  <si>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</si>
  <si>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</si>
  <si>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</si>
  <si>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</si>
  <si>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</si>
  <si>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</si>
  <si>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</si>
  <si>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</si>
  <si>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</si>
  <si>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</si>
  <si>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</si>
  <si>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</si>
  <si>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</si>
  <si>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</si>
  <si>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</si>
  <si>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</si>
  <si>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</si>
  <si>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</si>
  <si>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</si>
  <si>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</si>
  <si>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</si>
  <si>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</si>
  <si>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</si>
  <si>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</si>
  <si>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</si>
  <si>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</si>
  <si>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</si>
  <si>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</si>
  <si>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</si>
  <si>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</si>
  <si>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</si>
  <si>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</si>
  <si>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</si>
  <si>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</si>
  <si>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</si>
  <si>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</si>
  <si>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</si>
  <si>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</si>
  <si>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</si>
  <si>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</si>
  <si>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</si>
  <si>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</si>
  <si>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</si>
  <si>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</si>
  <si>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</si>
  <si>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</si>
  <si>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</si>
  <si>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</si>
  <si>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</si>
  <si>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</si>
  <si>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</si>
  <si>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</si>
  <si>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</si>
  <si>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</si>
  <si>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</si>
  <si>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</si>
  <si>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</si>
  <si>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</si>
  <si>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</si>
  <si>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</si>
  <si>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</si>
  <si>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</si>
  <si>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</si>
  <si>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</si>
  <si>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</si>
  <si>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</si>
  <si>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</si>
  <si>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</si>
  <si>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</si>
  <si>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</si>
  <si>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</si>
  <si>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</si>
  <si>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</si>
  <si>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</si>
  <si>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</si>
  <si>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</si>
  <si>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</si>
  <si>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</si>
  <si>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</si>
  <si>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</si>
  <si>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</si>
  <si>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</si>
  <si>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</si>
  <si>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</si>
  <si>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</si>
  <si>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</si>
  <si>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</si>
  <si>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</si>
  <si>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</si>
  <si>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</si>
  <si>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</si>
  <si>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</si>
  <si>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</si>
  <si>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</si>
  <si>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</si>
  <si>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</si>
  <si>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</si>
  <si>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</si>
  <si>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</si>
  <si>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</si>
  <si>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</si>
  <si>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</si>
  <si>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</si>
  <si>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</si>
  <si>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</si>
  <si>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</si>
  <si>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</si>
  <si>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</si>
  <si>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</si>
  <si>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</si>
  <si>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</si>
  <si>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</si>
  <si>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</si>
  <si>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</si>
  <si>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</si>
  <si>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</si>
  <si>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</si>
  <si>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</si>
  <si>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</si>
  <si>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</si>
  <si>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</si>
  <si>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</si>
  <si>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</si>
  <si>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</si>
  <si>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</si>
  <si>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</si>
  <si>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</si>
  <si>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</si>
  <si>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</si>
  <si>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</si>
  <si>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</si>
  <si>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</si>
  <si>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</si>
  <si>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</si>
  <si>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</si>
  <si>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</si>
  <si>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</si>
  <si>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</si>
  <si>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</si>
  <si>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</si>
  <si>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</si>
  <si>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</si>
  <si>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</si>
  <si>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</si>
  <si>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</si>
  <si>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</si>
  <si>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</si>
  <si>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</si>
  <si>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</si>
  <si>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</si>
  <si>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</si>
  <si>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</si>
  <si>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</si>
  <si>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</si>
  <si>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</si>
  <si>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</si>
  <si>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</si>
  <si>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</si>
  <si>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</si>
  <si>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</si>
  <si>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</si>
  <si>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</si>
  <si>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</si>
  <si>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</si>
  <si>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</si>
  <si>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</si>
  <si>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</si>
  <si>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</si>
  <si>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</si>
  <si>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Bilan de la séquence : J'ai repéré quelques erreurs dans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</si>
  <si>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cardDetatils.php conformémement à la maquette prévue.</t>
  </si>
  <si>
    <t>Réalisation du frontend de la page addCard.php conformément à la maquette prévue.</t>
  </si>
  <si>
    <t xml:space="preserve">Bilan de la séquence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</si>
</sst>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vmlDrawing" Target="../drawings/vmlDrawing3.vml"/><Relationship Id="rId5" Type="http://schemas.openxmlformats.org/officeDocument/2006/relationships/hyperlink" Target="D-TPI-davassayah-RapportTPI.docx" TargetMode="External"/><Relationship Id="rId15" Type="http://schemas.openxmlformats.org/officeDocument/2006/relationships/image" Target="../media/image6.emf"/><Relationship Id="rId10" Type="http://schemas.openxmlformats.org/officeDocument/2006/relationships/drawing" Target="../drawings/drawing4.xml"/><Relationship Id="rId4" Type="http://schemas.openxmlformats.org/officeDocument/2006/relationships/hyperlink" Target="D-TPI-davassayah-RapportTPI.docx" TargetMode="External"/><Relationship Id="rId9" Type="http://schemas.openxmlformats.org/officeDocument/2006/relationships/printerSettings" Target="../printerSettings/printerSettings4.bin"/><Relationship Id="rId1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5"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256" zoomScaleNormal="100" zoomScaleSheetLayoutView="98" zoomScalePageLayoutView="70" workbookViewId="0">
      <selection activeCell="D238" sqref="D238"/>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219" activePane="bottomLeft" state="frozen"/>
      <selection pane="bottomLeft" activeCell="D235" sqref="D23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29"/>
      <c r="F184" s="230"/>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29"/>
      <c r="F196" s="230"/>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29"/>
      <c r="F208" s="230"/>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x14ac:dyDescent="0.3">
      <c r="A220" s="48"/>
      <c r="B220" s="49"/>
      <c r="C220" s="152" t="str">
        <f xml:space="preserve"> IF(B220="","",setValueToTime(B220))</f>
        <v/>
      </c>
      <c r="D220" s="50"/>
      <c r="E220" s="229"/>
      <c r="F220" s="230"/>
      <c r="G220" s="51"/>
    </row>
    <row r="221" spans="1:7" s="52" customFormat="1" x14ac:dyDescent="0.3">
      <c r="A221" s="53"/>
      <c r="B221" s="54"/>
      <c r="C221" s="153" t="str">
        <f t="shared" ref="C221:C227" si="18" xml:space="preserve"> IF(B221="","",setValueToTime(B221))</f>
        <v/>
      </c>
      <c r="D221" s="55"/>
      <c r="E221" s="221"/>
      <c r="F221" s="222"/>
      <c r="G221" s="51"/>
    </row>
    <row r="222" spans="1:7" s="52" customFormat="1" x14ac:dyDescent="0.3">
      <c r="A222" s="53"/>
      <c r="B222" s="54"/>
      <c r="C222" s="153" t="str">
        <f t="shared" si="18"/>
        <v/>
      </c>
      <c r="D222" s="55"/>
      <c r="E222" s="221"/>
      <c r="F222" s="222"/>
      <c r="G222" s="51"/>
    </row>
    <row r="223" spans="1:7" s="52" customFormat="1" x14ac:dyDescent="0.3">
      <c r="A223" s="53"/>
      <c r="B223" s="54"/>
      <c r="C223" s="153" t="str">
        <f t="shared" si="18"/>
        <v/>
      </c>
      <c r="D223" s="55"/>
      <c r="E223" s="221"/>
      <c r="F223" s="222"/>
      <c r="G223" s="51"/>
    </row>
    <row r="224" spans="1:7" s="52" customFormat="1" x14ac:dyDescent="0.3">
      <c r="A224" s="54"/>
      <c r="B224" s="54"/>
      <c r="C224" s="154" t="str">
        <f t="shared" si="18"/>
        <v/>
      </c>
      <c r="D224" s="55"/>
      <c r="E224" s="221"/>
      <c r="F224" s="222"/>
      <c r="G224" s="51"/>
    </row>
    <row r="225" spans="1:7" s="52" customFormat="1" x14ac:dyDescent="0.3">
      <c r="A225" s="54"/>
      <c r="B225" s="54"/>
      <c r="C225" s="154" t="str">
        <f t="shared" si="18"/>
        <v/>
      </c>
      <c r="D225" s="55"/>
      <c r="E225" s="221"/>
      <c r="F225" s="222"/>
      <c r="G225" s="51"/>
    </row>
    <row r="226" spans="1:7" s="52" customFormat="1" x14ac:dyDescent="0.3">
      <c r="A226" s="54"/>
      <c r="B226" s="54"/>
      <c r="C226" s="154" t="str">
        <f t="shared" si="18"/>
        <v/>
      </c>
      <c r="D226" s="55"/>
      <c r="E226" s="221"/>
      <c r="F226" s="222"/>
      <c r="G226" s="51"/>
    </row>
    <row r="227" spans="1:7" s="52" customFormat="1" ht="15" thickBot="1" x14ac:dyDescent="0.35">
      <c r="A227" s="56"/>
      <c r="B227" s="56"/>
      <c r="C227" s="155" t="str">
        <f t="shared" si="18"/>
        <v/>
      </c>
      <c r="D227" s="57"/>
      <c r="E227" s="223"/>
      <c r="F227" s="224"/>
      <c r="G227" s="51"/>
    </row>
    <row r="228" spans="1:7" s="52" customFormat="1" ht="15" thickBot="1" x14ac:dyDescent="0.35">
      <c r="A228" s="162" t="s">
        <v>26</v>
      </c>
      <c r="B228" s="83">
        <f>SUM(B220:B227)</f>
        <v>0</v>
      </c>
      <c r="C228" s="162" t="str">
        <f xml:space="preserve"> setValueToTime(B228)</f>
        <v>0h</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214</v>
      </c>
      <c r="E232" s="229"/>
      <c r="F232" s="230"/>
      <c r="G232" s="51"/>
    </row>
    <row r="233" spans="1:7" s="52" customFormat="1" x14ac:dyDescent="0.3">
      <c r="A233" s="53"/>
      <c r="B233" s="54"/>
      <c r="C233" s="153" t="str">
        <f t="shared" ref="C233:C239" si="19" xml:space="preserve"> IF(B233="","",setValueToTime(B233))</f>
        <v/>
      </c>
      <c r="D233" s="55"/>
      <c r="E233" s="221"/>
      <c r="F233" s="222"/>
      <c r="G233" s="51"/>
    </row>
    <row r="234" spans="1:7" s="52" customFormat="1" x14ac:dyDescent="0.3">
      <c r="A234" s="53"/>
      <c r="B234" s="54"/>
      <c r="C234" s="153" t="str">
        <f t="shared" si="19"/>
        <v/>
      </c>
      <c r="D234" s="55"/>
      <c r="E234" s="221"/>
      <c r="F234" s="222"/>
      <c r="G234" s="51"/>
    </row>
    <row r="235" spans="1:7" s="52" customFormat="1" x14ac:dyDescent="0.3">
      <c r="A235" s="53"/>
      <c r="B235" s="54"/>
      <c r="C235" s="153" t="str">
        <f t="shared" si="19"/>
        <v/>
      </c>
      <c r="D235" s="55"/>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t="s">
        <v>215</v>
      </c>
      <c r="F239" s="224"/>
      <c r="G239" s="51"/>
    </row>
    <row r="240" spans="1:7" s="52" customFormat="1" ht="15" thickBot="1" x14ac:dyDescent="0.35">
      <c r="A240" s="162" t="s">
        <v>26</v>
      </c>
      <c r="B240" s="83">
        <f>SUM(B232:B239)</f>
        <v>6</v>
      </c>
      <c r="C240" s="162" t="str">
        <f xml:space="preserve"> setValueToTime(B240)</f>
        <v>0h30min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207</v>
      </c>
      <c r="E244" s="229"/>
      <c r="F244" s="230"/>
      <c r="G244" s="51"/>
    </row>
    <row r="245" spans="1:7" s="52" customFormat="1" ht="27" x14ac:dyDescent="0.3">
      <c r="A245" s="53" t="s">
        <v>152</v>
      </c>
      <c r="B245" s="54">
        <v>1</v>
      </c>
      <c r="C245" s="153" t="str">
        <f xml:space="preserve"> IF(B245="","",setValueToTime(B245))</f>
        <v>0h5min</v>
      </c>
      <c r="D245" s="55" t="s">
        <v>208</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209</v>
      </c>
      <c r="E247" s="221"/>
      <c r="F247" s="222"/>
      <c r="G247" s="51"/>
    </row>
    <row r="248" spans="1:7" s="52" customFormat="1" x14ac:dyDescent="0.3">
      <c r="A248" s="54" t="s">
        <v>112</v>
      </c>
      <c r="B248" s="54">
        <v>6</v>
      </c>
      <c r="C248" s="154" t="str">
        <f t="shared" si="20"/>
        <v>0h30min</v>
      </c>
      <c r="D248" s="55" t="s">
        <v>210</v>
      </c>
      <c r="E248" s="221"/>
      <c r="F248" s="222"/>
      <c r="G248" s="51"/>
    </row>
    <row r="249" spans="1:7" s="52" customFormat="1" x14ac:dyDescent="0.3">
      <c r="A249" s="54" t="s">
        <v>112</v>
      </c>
      <c r="B249" s="54">
        <v>6</v>
      </c>
      <c r="C249" s="154" t="str">
        <f t="shared" si="20"/>
        <v>0h30min</v>
      </c>
      <c r="D249" s="55" t="s">
        <v>211</v>
      </c>
      <c r="E249" s="221"/>
      <c r="F249" s="222"/>
      <c r="G249" s="51"/>
    </row>
    <row r="250" spans="1:7" s="52" customFormat="1" x14ac:dyDescent="0.3">
      <c r="A250" s="54" t="s">
        <v>112</v>
      </c>
      <c r="B250" s="54">
        <v>6</v>
      </c>
      <c r="C250" s="154" t="str">
        <f t="shared" si="20"/>
        <v>0h30min</v>
      </c>
      <c r="D250" s="55" t="s">
        <v>213</v>
      </c>
      <c r="E250" s="221"/>
      <c r="F250" s="222"/>
      <c r="G250" s="51"/>
    </row>
    <row r="251" spans="1:7" s="52" customFormat="1" ht="123" customHeight="1" thickBot="1" x14ac:dyDescent="0.35">
      <c r="A251" s="56"/>
      <c r="B251" s="56"/>
      <c r="C251" s="155" t="str">
        <f t="shared" si="20"/>
        <v/>
      </c>
      <c r="D251" s="57"/>
      <c r="E251" s="223" t="s">
        <v>212</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t="s">
        <v>206</v>
      </c>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t="s">
        <v>206</v>
      </c>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t="s">
        <v>206</v>
      </c>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t="s">
        <v>206</v>
      </c>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t="s">
        <v>206</v>
      </c>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9"/>
  <headerFooter alignWithMargins="0">
    <oddHeader>&amp;L&amp;"ETML,Normal"&amp;14ETML&amp;R&amp;14&amp;USection Informatique</oddHeader>
    <oddFooter>&amp;L&amp;14&amp;D - GGZ&amp;C&amp;14&amp;F - &amp;A&amp;R&amp;14&amp;P/&amp;N</oddFooter>
  </headerFooter>
  <drawing r:id="rId10"/>
  <legacyDrawing r:id="rId11"/>
  <controls>
    <mc:AlternateContent xmlns:mc="http://schemas.openxmlformats.org/markup-compatibility/2006">
      <mc:Choice Requires="x14">
        <control shapeId="9224" r:id="rId12" name="btnRapatriementJournal">
          <controlPr defaultSize="0" autoLine="0" r:id="rId13">
            <anchor moveWithCells="1">
              <from>
                <xdr:col>0</xdr:col>
                <xdr:colOff>104775</xdr:colOff>
                <xdr:row>0</xdr:row>
                <xdr:rowOff>85725</xdr:rowOff>
              </from>
              <to>
                <xdr:col>1</xdr:col>
                <xdr:colOff>457200</xdr:colOff>
                <xdr:row>0</xdr:row>
                <xdr:rowOff>552450</xdr:rowOff>
              </to>
            </anchor>
          </controlPr>
        </control>
      </mc:Choice>
      <mc:Fallback>
        <control shapeId="9224" r:id="rId12" name="btnRapatriementJournal"/>
      </mc:Fallback>
    </mc:AlternateContent>
    <mc:AlternateContent xmlns:mc="http://schemas.openxmlformats.org/markup-compatibility/2006">
      <mc:Choice Requires="x14">
        <control shapeId="9220" r:id="rId14" name="btnAjoutSeqJournal">
          <controlPr defaultSize="0" autoLine="0" r:id="rId15">
            <anchor moveWithCells="1">
              <from>
                <xdr:col>2</xdr:col>
                <xdr:colOff>85725</xdr:colOff>
                <xdr:row>0</xdr:row>
                <xdr:rowOff>85725</xdr:rowOff>
              </from>
              <to>
                <xdr:col>3</xdr:col>
                <xdr:colOff>914400</xdr:colOff>
                <xdr:row>0</xdr:row>
                <xdr:rowOff>561975</xdr:rowOff>
              </to>
            </anchor>
          </controlPr>
        </control>
      </mc:Choice>
      <mc:Fallback>
        <control shapeId="9220" r:id="rId14"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2023-05-22T06:35:11Z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