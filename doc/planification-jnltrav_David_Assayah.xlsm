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753ED5B3-AA97-4D5B-8B41-B2178C85CAB3}"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<sst xmlns="http://schemas.openxmlformats.org/spreadsheetml/2006/main" count="1311" uniqueCount="226">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</sst>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90" zoomScaleNormal="100" zoomScaleSheetLayoutView="98" zoomScalePageLayoutView="70" workbookViewId="0">
      <selection activeCell="D104" sqref="D10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19" activePane="bottomLeft" state="frozen"/>
      <selection pane="bottomLeft" activeCell="E228" sqref="E228:F22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29"/>
      <c r="F208" s="230"/>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222</v>
      </c>
      <c r="E220" s="229"/>
      <c r="F220" s="230"/>
      <c r="G220" s="51"/>
    </row>
    <row r="221" spans="1:7" s="52" customFormat="1" ht="27" x14ac:dyDescent="0.3">
      <c r="A221" s="53" t="s">
        <v>113</v>
      </c>
      <c r="B221" s="54">
        <v>2</v>
      </c>
      <c r="C221" s="153" t="str">
        <f t="shared" ref="C221:C227" si="18" xml:space="preserve"> IF(B221="","",setValueToTime(B221))</f>
        <v>0h10min</v>
      </c>
      <c r="D221" s="55" t="s">
        <v>221</v>
      </c>
      <c r="E221" s="221"/>
      <c r="F221" s="222"/>
      <c r="G221" s="51"/>
    </row>
    <row r="222" spans="1:7" s="52" customFormat="1" ht="27" x14ac:dyDescent="0.3">
      <c r="A222" s="53" t="s">
        <v>135</v>
      </c>
      <c r="B222" s="54">
        <v>6</v>
      </c>
      <c r="C222" s="153" t="str">
        <f t="shared" si="18"/>
        <v>0h30min</v>
      </c>
      <c r="D222" s="55" t="s">
        <v>223</v>
      </c>
      <c r="E222" s="221"/>
      <c r="F222" s="222"/>
      <c r="G222" s="51"/>
    </row>
    <row r="223" spans="1:7" s="52" customFormat="1" ht="40.5" x14ac:dyDescent="0.3">
      <c r="A223" s="53" t="s">
        <v>117</v>
      </c>
      <c r="B223" s="54">
        <v>10</v>
      </c>
      <c r="C223" s="153" t="str">
        <f t="shared" si="18"/>
        <v>0h50min</v>
      </c>
      <c r="D223" s="55" t="s">
        <v>224</v>
      </c>
      <c r="E223" s="221"/>
      <c r="F223" s="222"/>
      <c r="G223" s="51"/>
    </row>
    <row r="224" spans="1:7" s="52" customFormat="1" ht="108" x14ac:dyDescent="0.3">
      <c r="A224" s="54" t="s">
        <v>156</v>
      </c>
      <c r="B224" s="54">
        <v>6</v>
      </c>
      <c r="C224" s="154" t="str">
        <f t="shared" si="18"/>
        <v>0h30min</v>
      </c>
      <c r="D224" s="55" t="s">
        <v>220</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225</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213</v>
      </c>
      <c r="E232" s="229"/>
      <c r="F232" s="230"/>
      <c r="G232" s="51"/>
    </row>
    <row r="233" spans="1:7" s="52" customFormat="1" ht="43.5" customHeight="1" x14ac:dyDescent="0.3">
      <c r="A233" s="53" t="s">
        <v>172</v>
      </c>
      <c r="B233" s="54">
        <v>9</v>
      </c>
      <c r="C233" s="153" t="str">
        <f t="shared" ref="C233:C239" si="19" xml:space="preserve"> IF(B233="","",setValueToTime(B233))</f>
        <v>0h45min</v>
      </c>
      <c r="D233" s="55" t="s">
        <v>214</v>
      </c>
      <c r="E233" s="221" t="s">
        <v>215</v>
      </c>
      <c r="F233" s="222"/>
      <c r="G233" s="51"/>
    </row>
    <row r="234" spans="1:7" s="52" customFormat="1" x14ac:dyDescent="0.3">
      <c r="A234" s="53" t="s">
        <v>112</v>
      </c>
      <c r="B234" s="54">
        <v>6</v>
      </c>
      <c r="C234" s="153" t="str">
        <f t="shared" si="19"/>
        <v>0h30min</v>
      </c>
      <c r="D234" s="55" t="s">
        <v>217</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218</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219</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29"/>
      <c r="F244" s="230"/>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212</v>
      </c>
      <c r="E250" s="221"/>
      <c r="F250" s="222"/>
      <c r="G250" s="51"/>
    </row>
    <row r="251" spans="1:7" s="52" customFormat="1" ht="123" customHeight="1" thickBot="1" x14ac:dyDescent="0.35">
      <c r="A251" s="56"/>
      <c r="B251" s="56"/>
      <c r="C251" s="155" t="str">
        <f t="shared" si="20"/>
        <v/>
      </c>
      <c r="D251" s="57"/>
      <c r="E251" s="223" t="s">
        <v>216</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t="s">
        <v>206</v>
      </c>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t="s">
        <v>206</v>
      </c>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t="s">
        <v>206</v>
      </c>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t="s">
        <v>206</v>
      </c>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t="s">
        <v>206</v>
      </c>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mc:AlternateContent xmlns:mc="http://schemas.openxmlformats.org/markup-compatibility/2006">
      <mc:Choice Requires="x14">
        <control shapeId="9220" r:id="rId14" name="btnAjoutSeqJournal">
          <controlPr defaultSize="0" autoLine="0" r:id="rId15">
            <anchor moveWithCells="1">
              <from>
                <xdr:col>2</xdr:col>
                <xdr:colOff>85725</xdr:colOff>
                <xdr:row>0</xdr:row>
                <xdr:rowOff>85725</xdr:rowOff>
              </from>
              <to>
                <xdr:col>3</xdr:col>
                <xdr:colOff>914400</xdr:colOff>
                <xdr:row>0</xdr:row>
                <xdr:rowOff>561975</xdr:rowOff>
              </to>
            </anchor>
          </controlPr>
        </control>
      </mc:Choice>
      <mc:Fallback>
        <control shapeId="9220" r:id="rId14"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2023-05-22T14:20:03Z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