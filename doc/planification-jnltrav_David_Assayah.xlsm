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46AB22EF-2B55-4034-B435-895578107E3E}" xr6:coauthVersionLast="47" xr6:coauthVersionMax="47" xr10:uidLastSave="{00000000-0000-0000-0000-000000000000}"/>
  <bookViews>
    <workbookView xWindow="-120" yWindow="-120" windowWidth="29040" windowHeight="15840" activeTab="2"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C248" i="12"/>
  <c r="C247" i="12"/>
  <c r="C246" i="12"/>
  <c r="C245" i="12"/>
  <c r="C244" i="12"/>
  <c r="B264" i="12"/>
  <c r="C263" i="12"/>
  <c r="C262" i="12"/>
  <c r="C261" i="12"/>
  <c r="C260" i="12"/>
  <c r="C259" i="12"/>
  <c r="C258" i="12"/>
  <c r="C257" i="12"/>
  <c r="C256" i="12"/>
  <c r="B276" i="12"/>
  <c r="C275" i="12"/>
  <c r="C274" i="12"/>
  <c r="C273" i="12"/>
  <c r="C272" i="12"/>
  <c r="C271" i="12"/>
  <c r="C270" i="12"/>
  <c r="C269" i="12"/>
  <c r="C268" i="12"/>
  <c r="B288" i="12"/>
  <c r="C287" i="12"/>
  <c r="C286" i="12"/>
  <c r="C285" i="12"/>
  <c r="C284" i="12"/>
  <c r="C283" i="12"/>
  <c r="C282" i="12"/>
  <c r="C281" i="12"/>
  <c r="C280" i="12"/>
  <c r="B300" i="12"/>
  <c r="C299" i="12"/>
  <c r="C298" i="12"/>
  <c r="C297" i="12"/>
  <c r="C296" i="12"/>
  <c r="C295" i="12"/>
  <c r="C294" i="12"/>
  <c r="C293" i="12"/>
  <c r="C292"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204" i="12"/>
  <c r="C216" i="12"/>
  <c r="C228" i="12"/>
  <c r="C240" i="12"/>
  <c r="C252" i="12"/>
  <c r="C264" i="12"/>
  <c r="C276" i="12"/>
  <c r="C288" i="12"/>
  <c r="C300"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<sst xmlns="http://schemas.openxmlformats.org/spreadsheetml/2006/main" count="1222" uniqueCount="184">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</sst>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7">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strLit>
          </c:cat>
          <c:val>
            <c:numLit>
              <c:formatCode>General</c:formatCode>
              <c:ptCount val="23"/>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3"/>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www.mockflow.com/" TargetMode="External"/><Relationship Id="rId7" Type="http://schemas.openxmlformats.org/officeDocument/2006/relationships/control" Target="../activeX/activeX4.xml"/><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40"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19" t="s">
        <v>28</v>
      </c>
      <c r="D1" s="219"/>
      <c r="E1" s="21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0"/>
      <c r="D7" s="220"/>
      <c r="E7" s="22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15" t="str">
        <f>E96</f>
        <v>89h</v>
      </c>
      <c r="H9" s="215"/>
      <c r="I9" s="215"/>
      <c r="J9" s="215"/>
      <c r="K9" s="215"/>
      <c r="L9" s="215"/>
      <c r="M9" s="215"/>
      <c r="N9" s="215"/>
      <c r="O9" s="215"/>
      <c r="P9" s="215"/>
      <c r="Q9" s="215"/>
      <c r="R9" s="215"/>
      <c r="S9" s="215"/>
      <c r="T9" s="215"/>
      <c r="U9" s="215"/>
      <c r="V9" s="119"/>
      <c r="W9" s="214" t="s">
        <v>20</v>
      </c>
      <c r="X9" s="214"/>
      <c r="Y9" s="214"/>
      <c r="Z9" s="214"/>
      <c r="AA9" s="214"/>
      <c r="AB9" s="214"/>
      <c r="AC9" s="214"/>
      <c r="AD9" s="214"/>
      <c r="AE9" s="214"/>
      <c r="AF9" s="214"/>
      <c r="AG9" s="214"/>
      <c r="AH9" s="215" t="str">
        <f>E98</f>
        <v>7h10min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90"/>
    </row>
    <row r="11" spans="1:1686" ht="20.100000000000001" customHeight="1" x14ac:dyDescent="0.25">
      <c r="B11" s="96"/>
      <c r="C11" s="217"/>
      <c r="D11" s="217"/>
      <c r="E11" s="217"/>
      <c r="F11" s="213" t="s">
        <v>41</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62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190" t="s">
        <v>62</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63</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63</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64</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64</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65</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66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66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67</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67</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68</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69</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69</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70</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70</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71</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71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72</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73</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73</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74</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74</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75</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75</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76</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190" t="s">
        <v>76</v>
      </c>
      <c r="BJO11" s="190"/>
      <c r="BJP11" s="190"/>
      <c r="BJQ11" s="190"/>
      <c r="BJR11" s="190"/>
      <c r="BJS11" s="190"/>
      <c r="BJT11" s="190"/>
      <c r="BJU11" s="190"/>
      <c r="BJV11" s="190"/>
      <c r="BJW11" s="190"/>
      <c r="BJX11" s="190"/>
      <c r="BJY11" s="190"/>
      <c r="BJZ11" s="190"/>
      <c r="BKA11" s="190"/>
      <c r="BKB11" s="190"/>
      <c r="BKC11" s="190"/>
      <c r="BKD11" s="190"/>
      <c r="BKE11" s="190"/>
      <c r="BKF11" s="190"/>
      <c r="BKG11" s="190"/>
      <c r="BKH11" s="190"/>
      <c r="BKI11" s="190"/>
      <c r="BKJ11" s="190"/>
      <c r="BKK11" s="190"/>
      <c r="BKL11" s="190"/>
      <c r="BKM11" s="190"/>
      <c r="BKN11" s="190"/>
      <c r="BKO11" s="190"/>
      <c r="BKP11" s="190"/>
      <c r="BKQ11" s="190"/>
      <c r="BKR11" s="190"/>
      <c r="BKS11" s="190"/>
      <c r="BKT11" s="190"/>
      <c r="BKU11" s="190"/>
      <c r="BKV11" s="190"/>
      <c r="BKW11" s="190"/>
      <c r="BKX11" s="190"/>
      <c r="BKY11" s="190"/>
      <c r="BKZ11" s="190"/>
      <c r="BLA11" s="190"/>
      <c r="BLB11" s="190"/>
      <c r="BLC11" s="190"/>
      <c r="BLD11" s="190"/>
      <c r="BLE11" s="190"/>
      <c r="BLF11" s="190"/>
      <c r="BLG11" s="190"/>
      <c r="BLH11" s="190"/>
      <c r="BLI11" s="190"/>
      <c r="BLJ11" s="190"/>
      <c r="BLK11" s="190"/>
      <c r="BLL11" s="190"/>
      <c r="BLM11" s="190"/>
      <c r="BLN11" s="190"/>
      <c r="BLO11" s="190"/>
      <c r="BLP11" s="190"/>
      <c r="BLQ11" s="190"/>
      <c r="BLR11" s="190"/>
      <c r="BLS11" s="190"/>
      <c r="BLT11" s="190"/>
      <c r="BLU11" s="190"/>
      <c r="BLV11" s="90"/>
    </row>
    <row r="12" spans="1:1686" ht="15.75" customHeight="1" thickBot="1" x14ac:dyDescent="0.3">
      <c r="B12" s="97"/>
      <c r="C12" s="218"/>
      <c r="D12" s="218"/>
      <c r="E12" s="218"/>
      <c r="F12" s="212" t="s">
        <v>61</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60</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191" t="s">
        <v>61</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t="s">
        <v>60</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61</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60</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61</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61</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60</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61</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60</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61</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61</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60</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61</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60</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61</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60</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61</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61</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60</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61</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60</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61</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60</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61</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60</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191" t="s">
        <v>61</v>
      </c>
      <c r="BJO12" s="191"/>
      <c r="BJP12" s="191"/>
      <c r="BJQ12" s="191"/>
      <c r="BJR12" s="191"/>
      <c r="BJS12" s="191"/>
      <c r="BJT12" s="191"/>
      <c r="BJU12" s="191"/>
      <c r="BJV12" s="191"/>
      <c r="BJW12" s="191"/>
      <c r="BJX12" s="191"/>
      <c r="BJY12" s="191"/>
      <c r="BJZ12" s="191"/>
      <c r="BKA12" s="191"/>
      <c r="BKB12" s="191"/>
      <c r="BKC12" s="191"/>
      <c r="BKD12" s="191"/>
      <c r="BKE12" s="191"/>
      <c r="BKF12" s="191"/>
      <c r="BKG12" s="191"/>
      <c r="BKH12" s="191"/>
      <c r="BKI12" s="191"/>
      <c r="BKJ12" s="191"/>
      <c r="BKK12" s="191"/>
      <c r="BKL12" s="191"/>
      <c r="BKM12" s="191"/>
      <c r="BKN12" s="191"/>
      <c r="BKO12" s="191"/>
      <c r="BKP12" s="191"/>
      <c r="BKQ12" s="191"/>
      <c r="BKR12" s="191"/>
      <c r="BKS12" s="191"/>
      <c r="BKT12" s="191"/>
      <c r="BKU12" s="191"/>
      <c r="BKV12" s="191"/>
      <c r="BKW12" s="191"/>
      <c r="BKX12" s="191"/>
      <c r="BKY12" s="191"/>
      <c r="BKZ12" s="191"/>
      <c r="BLA12" s="191"/>
      <c r="BLB12" s="191"/>
      <c r="BLC12" s="191"/>
      <c r="BLD12" s="191"/>
      <c r="BLE12" s="191"/>
      <c r="BLF12" s="191"/>
      <c r="BLG12" s="191"/>
      <c r="BLH12" s="191"/>
      <c r="BLI12" s="191"/>
      <c r="BLJ12" s="191"/>
      <c r="BLK12" s="191"/>
      <c r="BLL12" s="191"/>
      <c r="BLM12" s="191"/>
      <c r="BLN12" s="191"/>
      <c r="BLO12" s="191"/>
      <c r="BLP12" s="191"/>
      <c r="BLQ12" s="191"/>
      <c r="BLR12" s="191"/>
      <c r="BLS12" s="191"/>
      <c r="BLT12" s="191"/>
      <c r="BLU12" s="191"/>
      <c r="BLV12" s="90"/>
    </row>
    <row r="13" spans="1:1686" ht="42.75" customHeight="1" thickBot="1" x14ac:dyDescent="0.3">
      <c r="B13" s="96"/>
      <c r="C13" s="208" t="s">
        <v>3</v>
      </c>
      <c r="D13" s="144"/>
      <c r="E13" s="210" t="s">
        <v>38</v>
      </c>
      <c r="F13" s="192" t="s">
        <v>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53</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52</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51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50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49</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48</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47</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46</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45</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44</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43</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42</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40</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89</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88</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87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86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85</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84</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83</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82</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81</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80</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192" t="s">
        <v>78</v>
      </c>
      <c r="BJO13" s="193"/>
      <c r="BJP13" s="193"/>
      <c r="BJQ13" s="193"/>
      <c r="BJR13" s="193"/>
      <c r="BJS13" s="193"/>
      <c r="BJT13" s="193"/>
      <c r="BJU13" s="193"/>
      <c r="BJV13" s="193"/>
      <c r="BJW13" s="193"/>
      <c r="BJX13" s="193"/>
      <c r="BJY13" s="193"/>
      <c r="BJZ13" s="193"/>
      <c r="BKA13" s="193"/>
      <c r="BKB13" s="193"/>
      <c r="BKC13" s="193"/>
      <c r="BKD13" s="193"/>
      <c r="BKE13" s="193"/>
      <c r="BKF13" s="193"/>
      <c r="BKG13" s="193"/>
      <c r="BKH13" s="193"/>
      <c r="BKI13" s="193"/>
      <c r="BKJ13" s="193"/>
      <c r="BKK13" s="193"/>
      <c r="BKL13" s="193"/>
      <c r="BKM13" s="193"/>
      <c r="BKN13" s="193"/>
      <c r="BKO13" s="193"/>
      <c r="BKP13" s="193"/>
      <c r="BKQ13" s="193"/>
      <c r="BKR13" s="193"/>
      <c r="BKS13" s="193"/>
      <c r="BKT13" s="193"/>
      <c r="BKU13" s="193"/>
      <c r="BKV13" s="193"/>
      <c r="BKW13" s="193"/>
      <c r="BKX13" s="193"/>
      <c r="BKY13" s="193"/>
      <c r="BKZ13" s="193"/>
      <c r="BLA13" s="193"/>
      <c r="BLB13" s="193"/>
      <c r="BLC13" s="193"/>
      <c r="BLD13" s="193"/>
      <c r="BLE13" s="193"/>
      <c r="BLF13" s="193"/>
      <c r="BLG13" s="193"/>
      <c r="BLH13" s="193"/>
      <c r="BLI13" s="193"/>
      <c r="BLJ13" s="193"/>
      <c r="BLK13" s="193"/>
      <c r="BLL13" s="193"/>
      <c r="BLM13" s="193"/>
      <c r="BLN13" s="193"/>
      <c r="BLO13" s="193"/>
      <c r="BLP13" s="193"/>
      <c r="BLQ13" s="193"/>
      <c r="BLR13" s="193"/>
      <c r="BLS13" s="193"/>
      <c r="BLT13" s="193"/>
      <c r="BLU13" s="194"/>
      <c r="BLV13" s="90"/>
    </row>
    <row r="14" spans="1:1686" ht="12.75" customHeight="1" thickBot="1" x14ac:dyDescent="0.35">
      <c r="B14" s="96"/>
      <c r="C14" s="209"/>
      <c r="D14" s="145"/>
      <c r="E14" s="211"/>
      <c r="F14" s="103"/>
      <c r="G14" s="104"/>
      <c r="H14" s="104"/>
      <c r="I14" s="104"/>
      <c r="J14" s="195" t="s">
        <v>33</v>
      </c>
      <c r="K14" s="195"/>
      <c r="L14" s="195"/>
      <c r="M14" s="195"/>
      <c r="N14" s="104"/>
      <c r="O14" s="104"/>
      <c r="P14" s="196" t="s">
        <v>21</v>
      </c>
      <c r="Q14" s="196"/>
      <c r="R14" s="196"/>
      <c r="S14" s="196"/>
      <c r="T14" s="129"/>
      <c r="U14" s="129"/>
      <c r="V14" s="195" t="s">
        <v>34</v>
      </c>
      <c r="W14" s="195"/>
      <c r="X14" s="195"/>
      <c r="Y14" s="195"/>
      <c r="Z14" s="104"/>
      <c r="AA14" s="104"/>
      <c r="AB14" s="196" t="s">
        <v>22</v>
      </c>
      <c r="AC14" s="196"/>
      <c r="AD14" s="196"/>
      <c r="AE14" s="196"/>
      <c r="AF14" s="129"/>
      <c r="AG14" s="129"/>
      <c r="AH14" s="195" t="s">
        <v>35</v>
      </c>
      <c r="AI14" s="195"/>
      <c r="AJ14" s="195"/>
      <c r="AK14" s="195"/>
      <c r="AL14" s="104"/>
      <c r="AM14" s="104"/>
      <c r="AN14" s="196" t="s">
        <v>23</v>
      </c>
      <c r="AO14" s="196"/>
      <c r="AP14" s="196"/>
      <c r="AQ14" s="196"/>
      <c r="AR14" s="129"/>
      <c r="AS14" s="129"/>
      <c r="AT14" s="195" t="s">
        <v>36</v>
      </c>
      <c r="AU14" s="195"/>
      <c r="AV14" s="195"/>
      <c r="AW14" s="195"/>
      <c r="AX14" s="104"/>
      <c r="AY14" s="104"/>
      <c r="AZ14" s="196" t="s">
        <v>24</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21</v>
      </c>
      <c r="BY14" s="196"/>
      <c r="BZ14" s="196"/>
      <c r="CA14" s="196"/>
      <c r="CB14" s="129"/>
      <c r="CC14" s="129"/>
      <c r="CD14" s="195" t="s">
        <v>34</v>
      </c>
      <c r="CE14" s="195"/>
      <c r="CF14" s="195"/>
      <c r="CG14" s="195"/>
      <c r="CH14" s="104"/>
      <c r="CI14" s="104"/>
      <c r="CJ14" s="196" t="s">
        <v>22</v>
      </c>
      <c r="CK14" s="196"/>
      <c r="CL14" s="196"/>
      <c r="CM14" s="196"/>
      <c r="CN14" s="129"/>
      <c r="CO14" s="129"/>
      <c r="CP14" s="195" t="s">
        <v>35</v>
      </c>
      <c r="CQ14" s="195"/>
      <c r="CR14" s="195"/>
      <c r="CS14" s="195"/>
      <c r="CT14" s="104"/>
      <c r="CU14" s="104"/>
      <c r="CV14" s="196" t="s">
        <v>23</v>
      </c>
      <c r="CW14" s="196"/>
      <c r="CX14" s="196"/>
      <c r="CY14" s="196"/>
      <c r="CZ14" s="129"/>
      <c r="DA14" s="129"/>
      <c r="DB14" s="195" t="s">
        <v>36</v>
      </c>
      <c r="DC14" s="195"/>
      <c r="DD14" s="195"/>
      <c r="DE14" s="195"/>
      <c r="DF14" s="104"/>
      <c r="DG14" s="104"/>
      <c r="DH14" s="196" t="s">
        <v>24</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21</v>
      </c>
      <c r="EG14" s="196"/>
      <c r="EH14" s="196"/>
      <c r="EI14" s="196"/>
      <c r="EJ14" s="129"/>
      <c r="EK14" s="129"/>
      <c r="EL14" s="195" t="s">
        <v>34</v>
      </c>
      <c r="EM14" s="195"/>
      <c r="EN14" s="195"/>
      <c r="EO14" s="195"/>
      <c r="EP14" s="104"/>
      <c r="EQ14" s="104"/>
      <c r="ER14" s="196" t="s">
        <v>22</v>
      </c>
      <c r="ES14" s="196"/>
      <c r="ET14" s="196"/>
      <c r="EU14" s="196"/>
      <c r="EV14" s="129"/>
      <c r="EW14" s="129"/>
      <c r="EX14" s="195" t="s">
        <v>35</v>
      </c>
      <c r="EY14" s="195"/>
      <c r="EZ14" s="195"/>
      <c r="FA14" s="195"/>
      <c r="FB14" s="104"/>
      <c r="FC14" s="104"/>
      <c r="FD14" s="196" t="s">
        <v>23</v>
      </c>
      <c r="FE14" s="196"/>
      <c r="FF14" s="196"/>
      <c r="FG14" s="196"/>
      <c r="FH14" s="129"/>
      <c r="FI14" s="129"/>
      <c r="FJ14" s="195" t="s">
        <v>36</v>
      </c>
      <c r="FK14" s="195"/>
      <c r="FL14" s="195"/>
      <c r="FM14" s="195"/>
      <c r="FN14" s="104"/>
      <c r="FO14" s="104"/>
      <c r="FP14" s="196" t="s">
        <v>24</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21</v>
      </c>
      <c r="GO14" s="196"/>
      <c r="GP14" s="196"/>
      <c r="GQ14" s="196"/>
      <c r="GR14" s="129"/>
      <c r="GS14" s="129"/>
      <c r="GT14" s="195" t="s">
        <v>34</v>
      </c>
      <c r="GU14" s="195"/>
      <c r="GV14" s="195"/>
      <c r="GW14" s="195"/>
      <c r="GX14" s="104"/>
      <c r="GY14" s="104"/>
      <c r="GZ14" s="196" t="s">
        <v>22</v>
      </c>
      <c r="HA14" s="196"/>
      <c r="HB14" s="196"/>
      <c r="HC14" s="196"/>
      <c r="HD14" s="129"/>
      <c r="HE14" s="129"/>
      <c r="HF14" s="195" t="s">
        <v>35</v>
      </c>
      <c r="HG14" s="195"/>
      <c r="HH14" s="195"/>
      <c r="HI14" s="195"/>
      <c r="HJ14" s="104"/>
      <c r="HK14" s="104"/>
      <c r="HL14" s="196" t="s">
        <v>23</v>
      </c>
      <c r="HM14" s="196"/>
      <c r="HN14" s="196"/>
      <c r="HO14" s="196"/>
      <c r="HP14" s="129"/>
      <c r="HQ14" s="129"/>
      <c r="HR14" s="195" t="s">
        <v>36</v>
      </c>
      <c r="HS14" s="195"/>
      <c r="HT14" s="195"/>
      <c r="HU14" s="195"/>
      <c r="HV14" s="104"/>
      <c r="HW14" s="104"/>
      <c r="HX14" s="196" t="s">
        <v>24</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21</v>
      </c>
      <c r="IW14" s="196"/>
      <c r="IX14" s="196"/>
      <c r="IY14" s="196"/>
      <c r="IZ14" s="129"/>
      <c r="JA14" s="129"/>
      <c r="JB14" s="195" t="s">
        <v>34</v>
      </c>
      <c r="JC14" s="195"/>
      <c r="JD14" s="195"/>
      <c r="JE14" s="195"/>
      <c r="JF14" s="104"/>
      <c r="JG14" s="104"/>
      <c r="JH14" s="196" t="s">
        <v>22</v>
      </c>
      <c r="JI14" s="196"/>
      <c r="JJ14" s="196"/>
      <c r="JK14" s="196"/>
      <c r="JL14" s="129"/>
      <c r="JM14" s="129"/>
      <c r="JN14" s="195" t="s">
        <v>35</v>
      </c>
      <c r="JO14" s="195"/>
      <c r="JP14" s="195"/>
      <c r="JQ14" s="195"/>
      <c r="JR14" s="104"/>
      <c r="JS14" s="104"/>
      <c r="JT14" s="196" t="s">
        <v>23</v>
      </c>
      <c r="JU14" s="196"/>
      <c r="JV14" s="196"/>
      <c r="JW14" s="196"/>
      <c r="JX14" s="129"/>
      <c r="JY14" s="129"/>
      <c r="JZ14" s="195" t="s">
        <v>36</v>
      </c>
      <c r="KA14" s="195"/>
      <c r="KB14" s="195"/>
      <c r="KC14" s="195"/>
      <c r="KD14" s="104"/>
      <c r="KE14" s="104"/>
      <c r="KF14" s="196" t="s">
        <v>24</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21</v>
      </c>
      <c r="LE14" s="196"/>
      <c r="LF14" s="196"/>
      <c r="LG14" s="196"/>
      <c r="LH14" s="129"/>
      <c r="LI14" s="129"/>
      <c r="LJ14" s="195" t="s">
        <v>34</v>
      </c>
      <c r="LK14" s="195"/>
      <c r="LL14" s="195"/>
      <c r="LM14" s="195"/>
      <c r="LN14" s="104"/>
      <c r="LO14" s="104"/>
      <c r="LP14" s="196" t="s">
        <v>22</v>
      </c>
      <c r="LQ14" s="196"/>
      <c r="LR14" s="196"/>
      <c r="LS14" s="196"/>
      <c r="LT14" s="129"/>
      <c r="LU14" s="129"/>
      <c r="LV14" s="195" t="s">
        <v>35</v>
      </c>
      <c r="LW14" s="195"/>
      <c r="LX14" s="195"/>
      <c r="LY14" s="195"/>
      <c r="LZ14" s="104"/>
      <c r="MA14" s="104"/>
      <c r="MB14" s="196" t="s">
        <v>23</v>
      </c>
      <c r="MC14" s="196"/>
      <c r="MD14" s="196"/>
      <c r="ME14" s="196"/>
      <c r="MF14" s="129"/>
      <c r="MG14" s="129"/>
      <c r="MH14" s="195" t="s">
        <v>36</v>
      </c>
      <c r="MI14" s="195"/>
      <c r="MJ14" s="195"/>
      <c r="MK14" s="195"/>
      <c r="ML14" s="104"/>
      <c r="MM14" s="104"/>
      <c r="MN14" s="196" t="s">
        <v>24</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21</v>
      </c>
      <c r="NM14" s="196"/>
      <c r="NN14" s="196"/>
      <c r="NO14" s="196"/>
      <c r="NP14" s="129"/>
      <c r="NQ14" s="129"/>
      <c r="NR14" s="195" t="s">
        <v>34</v>
      </c>
      <c r="NS14" s="195"/>
      <c r="NT14" s="195"/>
      <c r="NU14" s="195"/>
      <c r="NV14" s="104"/>
      <c r="NW14" s="104"/>
      <c r="NX14" s="196" t="s">
        <v>22</v>
      </c>
      <c r="NY14" s="196"/>
      <c r="NZ14" s="196"/>
      <c r="OA14" s="196"/>
      <c r="OB14" s="129"/>
      <c r="OC14" s="129"/>
      <c r="OD14" s="195" t="s">
        <v>35</v>
      </c>
      <c r="OE14" s="195"/>
      <c r="OF14" s="195"/>
      <c r="OG14" s="195"/>
      <c r="OH14" s="104"/>
      <c r="OI14" s="104"/>
      <c r="OJ14" s="196" t="s">
        <v>23</v>
      </c>
      <c r="OK14" s="196"/>
      <c r="OL14" s="196"/>
      <c r="OM14" s="196"/>
      <c r="ON14" s="129"/>
      <c r="OO14" s="129"/>
      <c r="OP14" s="195" t="s">
        <v>36</v>
      </c>
      <c r="OQ14" s="195"/>
      <c r="OR14" s="195"/>
      <c r="OS14" s="195"/>
      <c r="OT14" s="104"/>
      <c r="OU14" s="104"/>
      <c r="OV14" s="196" t="s">
        <v>24</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21</v>
      </c>
      <c r="PU14" s="196"/>
      <c r="PV14" s="196"/>
      <c r="PW14" s="196"/>
      <c r="PX14" s="129"/>
      <c r="PY14" s="129"/>
      <c r="PZ14" s="195" t="s">
        <v>34</v>
      </c>
      <c r="QA14" s="195"/>
      <c r="QB14" s="195"/>
      <c r="QC14" s="195"/>
      <c r="QD14" s="104"/>
      <c r="QE14" s="104"/>
      <c r="QF14" s="196" t="s">
        <v>22</v>
      </c>
      <c r="QG14" s="196"/>
      <c r="QH14" s="196"/>
      <c r="QI14" s="196"/>
      <c r="QJ14" s="129"/>
      <c r="QK14" s="129"/>
      <c r="QL14" s="195" t="s">
        <v>35</v>
      </c>
      <c r="QM14" s="195"/>
      <c r="QN14" s="195"/>
      <c r="QO14" s="195"/>
      <c r="QP14" s="104"/>
      <c r="QQ14" s="104"/>
      <c r="QR14" s="196" t="s">
        <v>23</v>
      </c>
      <c r="QS14" s="196"/>
      <c r="QT14" s="196"/>
      <c r="QU14" s="196"/>
      <c r="QV14" s="129"/>
      <c r="QW14" s="129"/>
      <c r="QX14" s="195" t="s">
        <v>36</v>
      </c>
      <c r="QY14" s="195"/>
      <c r="QZ14" s="195"/>
      <c r="RA14" s="195"/>
      <c r="RB14" s="104"/>
      <c r="RC14" s="104"/>
      <c r="RD14" s="196" t="s">
        <v>24</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21</v>
      </c>
      <c r="SC14" s="196"/>
      <c r="SD14" s="196"/>
      <c r="SE14" s="196"/>
      <c r="SF14" s="129"/>
      <c r="SG14" s="129"/>
      <c r="SH14" s="195" t="s">
        <v>34</v>
      </c>
      <c r="SI14" s="195"/>
      <c r="SJ14" s="195"/>
      <c r="SK14" s="195"/>
      <c r="SL14" s="104"/>
      <c r="SM14" s="104"/>
      <c r="SN14" s="196" t="s">
        <v>22</v>
      </c>
      <c r="SO14" s="196"/>
      <c r="SP14" s="196"/>
      <c r="SQ14" s="196"/>
      <c r="SR14" s="129"/>
      <c r="SS14" s="129"/>
      <c r="ST14" s="195" t="s">
        <v>35</v>
      </c>
      <c r="SU14" s="195"/>
      <c r="SV14" s="195"/>
      <c r="SW14" s="195"/>
      <c r="SX14" s="104"/>
      <c r="SY14" s="104"/>
      <c r="SZ14" s="196" t="s">
        <v>23</v>
      </c>
      <c r="TA14" s="196"/>
      <c r="TB14" s="196"/>
      <c r="TC14" s="196"/>
      <c r="TD14" s="129"/>
      <c r="TE14" s="129"/>
      <c r="TF14" s="195" t="s">
        <v>36</v>
      </c>
      <c r="TG14" s="195"/>
      <c r="TH14" s="195"/>
      <c r="TI14" s="195"/>
      <c r="TJ14" s="104"/>
      <c r="TK14" s="104"/>
      <c r="TL14" s="196" t="s">
        <v>24</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21</v>
      </c>
      <c r="UK14" s="196"/>
      <c r="UL14" s="196"/>
      <c r="UM14" s="196"/>
      <c r="UN14" s="129"/>
      <c r="UO14" s="129"/>
      <c r="UP14" s="195" t="s">
        <v>34</v>
      </c>
      <c r="UQ14" s="195"/>
      <c r="UR14" s="195"/>
      <c r="US14" s="195"/>
      <c r="UT14" s="104"/>
      <c r="UU14" s="104"/>
      <c r="UV14" s="196" t="s">
        <v>22</v>
      </c>
      <c r="UW14" s="196"/>
      <c r="UX14" s="196"/>
      <c r="UY14" s="196"/>
      <c r="UZ14" s="129"/>
      <c r="VA14" s="129"/>
      <c r="VB14" s="195" t="s">
        <v>35</v>
      </c>
      <c r="VC14" s="195"/>
      <c r="VD14" s="195"/>
      <c r="VE14" s="195"/>
      <c r="VF14" s="104"/>
      <c r="VG14" s="104"/>
      <c r="VH14" s="196" t="s">
        <v>23</v>
      </c>
      <c r="VI14" s="196"/>
      <c r="VJ14" s="196"/>
      <c r="VK14" s="196"/>
      <c r="VL14" s="129"/>
      <c r="VM14" s="129"/>
      <c r="VN14" s="195" t="s">
        <v>36</v>
      </c>
      <c r="VO14" s="195"/>
      <c r="VP14" s="195"/>
      <c r="VQ14" s="195"/>
      <c r="VR14" s="104"/>
      <c r="VS14" s="104"/>
      <c r="VT14" s="196" t="s">
        <v>24</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21</v>
      </c>
      <c r="WS14" s="196"/>
      <c r="WT14" s="196"/>
      <c r="WU14" s="196"/>
      <c r="WV14" s="129"/>
      <c r="WW14" s="129"/>
      <c r="WX14" s="195" t="s">
        <v>34</v>
      </c>
      <c r="WY14" s="195"/>
      <c r="WZ14" s="195"/>
      <c r="XA14" s="195"/>
      <c r="XB14" s="104"/>
      <c r="XC14" s="104"/>
      <c r="XD14" s="196" t="s">
        <v>22</v>
      </c>
      <c r="XE14" s="196"/>
      <c r="XF14" s="196"/>
      <c r="XG14" s="196"/>
      <c r="XH14" s="129"/>
      <c r="XI14" s="129"/>
      <c r="XJ14" s="195" t="s">
        <v>35</v>
      </c>
      <c r="XK14" s="195"/>
      <c r="XL14" s="195"/>
      <c r="XM14" s="195"/>
      <c r="XN14" s="104"/>
      <c r="XO14" s="104"/>
      <c r="XP14" s="196" t="s">
        <v>23</v>
      </c>
      <c r="XQ14" s="196"/>
      <c r="XR14" s="196"/>
      <c r="XS14" s="196"/>
      <c r="XT14" s="129"/>
      <c r="XU14" s="129"/>
      <c r="XV14" s="195" t="s">
        <v>36</v>
      </c>
      <c r="XW14" s="195"/>
      <c r="XX14" s="195"/>
      <c r="XY14" s="195"/>
      <c r="XZ14" s="104"/>
      <c r="YA14" s="104"/>
      <c r="YB14" s="196" t="s">
        <v>24</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21</v>
      </c>
      <c r="ZA14" s="196"/>
      <c r="ZB14" s="196"/>
      <c r="ZC14" s="196"/>
      <c r="ZD14" s="129"/>
      <c r="ZE14" s="129"/>
      <c r="ZF14" s="195" t="s">
        <v>34</v>
      </c>
      <c r="ZG14" s="195"/>
      <c r="ZH14" s="195"/>
      <c r="ZI14" s="195"/>
      <c r="ZJ14" s="104"/>
      <c r="ZK14" s="104"/>
      <c r="ZL14" s="196" t="s">
        <v>22</v>
      </c>
      <c r="ZM14" s="196"/>
      <c r="ZN14" s="196"/>
      <c r="ZO14" s="196"/>
      <c r="ZP14" s="129"/>
      <c r="ZQ14" s="129"/>
      <c r="ZR14" s="195" t="s">
        <v>35</v>
      </c>
      <c r="ZS14" s="195"/>
      <c r="ZT14" s="195"/>
      <c r="ZU14" s="195"/>
      <c r="ZV14" s="104"/>
      <c r="ZW14" s="104"/>
      <c r="ZX14" s="196" t="s">
        <v>23</v>
      </c>
      <c r="ZY14" s="196"/>
      <c r="ZZ14" s="196"/>
      <c r="AAA14" s="196"/>
      <c r="AAB14" s="129"/>
      <c r="AAC14" s="129"/>
      <c r="AAD14" s="195" t="s">
        <v>36</v>
      </c>
      <c r="AAE14" s="195"/>
      <c r="AAF14" s="195"/>
      <c r="AAG14" s="195"/>
      <c r="AAH14" s="104"/>
      <c r="AAI14" s="104"/>
      <c r="AAJ14" s="196" t="s">
        <v>24</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21</v>
      </c>
      <c r="ABI14" s="196"/>
      <c r="ABJ14" s="196"/>
      <c r="ABK14" s="196"/>
      <c r="ABL14" s="129"/>
      <c r="ABM14" s="129"/>
      <c r="ABN14" s="195" t="s">
        <v>34</v>
      </c>
      <c r="ABO14" s="195"/>
      <c r="ABP14" s="195"/>
      <c r="ABQ14" s="195"/>
      <c r="ABR14" s="104"/>
      <c r="ABS14" s="104"/>
      <c r="ABT14" s="196" t="s">
        <v>22</v>
      </c>
      <c r="ABU14" s="196"/>
      <c r="ABV14" s="196"/>
      <c r="ABW14" s="196"/>
      <c r="ABX14" s="129"/>
      <c r="ABY14" s="129"/>
      <c r="ABZ14" s="195" t="s">
        <v>35</v>
      </c>
      <c r="ACA14" s="195"/>
      <c r="ACB14" s="195"/>
      <c r="ACC14" s="195"/>
      <c r="ACD14" s="104"/>
      <c r="ACE14" s="104"/>
      <c r="ACF14" s="196" t="s">
        <v>23</v>
      </c>
      <c r="ACG14" s="196"/>
      <c r="ACH14" s="196"/>
      <c r="ACI14" s="196"/>
      <c r="ACJ14" s="129"/>
      <c r="ACK14" s="129"/>
      <c r="ACL14" s="195" t="s">
        <v>36</v>
      </c>
      <c r="ACM14" s="195"/>
      <c r="ACN14" s="195"/>
      <c r="ACO14" s="195"/>
      <c r="ACP14" s="104"/>
      <c r="ACQ14" s="104"/>
      <c r="ACR14" s="196" t="s">
        <v>24</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21</v>
      </c>
      <c r="ADQ14" s="196"/>
      <c r="ADR14" s="196"/>
      <c r="ADS14" s="196"/>
      <c r="ADT14" s="129"/>
      <c r="ADU14" s="129"/>
      <c r="ADV14" s="195" t="s">
        <v>34</v>
      </c>
      <c r="ADW14" s="195"/>
      <c r="ADX14" s="195"/>
      <c r="ADY14" s="195"/>
      <c r="ADZ14" s="104"/>
      <c r="AEA14" s="104"/>
      <c r="AEB14" s="196" t="s">
        <v>22</v>
      </c>
      <c r="AEC14" s="196"/>
      <c r="AED14" s="196"/>
      <c r="AEE14" s="196"/>
      <c r="AEF14" s="129"/>
      <c r="AEG14" s="129"/>
      <c r="AEH14" s="195" t="s">
        <v>35</v>
      </c>
      <c r="AEI14" s="195"/>
      <c r="AEJ14" s="195"/>
      <c r="AEK14" s="195"/>
      <c r="AEL14" s="104"/>
      <c r="AEM14" s="104"/>
      <c r="AEN14" s="196" t="s">
        <v>23</v>
      </c>
      <c r="AEO14" s="196"/>
      <c r="AEP14" s="196"/>
      <c r="AEQ14" s="196"/>
      <c r="AER14" s="129"/>
      <c r="AES14" s="129"/>
      <c r="AET14" s="195" t="s">
        <v>36</v>
      </c>
      <c r="AEU14" s="195"/>
      <c r="AEV14" s="195"/>
      <c r="AEW14" s="195"/>
      <c r="AEX14" s="104"/>
      <c r="AEY14" s="104"/>
      <c r="AEZ14" s="196" t="s">
        <v>24</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21</v>
      </c>
      <c r="AFY14" s="196"/>
      <c r="AFZ14" s="196"/>
      <c r="AGA14" s="196"/>
      <c r="AGB14" s="129"/>
      <c r="AGC14" s="129"/>
      <c r="AGD14" s="195" t="s">
        <v>34</v>
      </c>
      <c r="AGE14" s="195"/>
      <c r="AGF14" s="195"/>
      <c r="AGG14" s="195"/>
      <c r="AGH14" s="104"/>
      <c r="AGI14" s="104"/>
      <c r="AGJ14" s="196" t="s">
        <v>22</v>
      </c>
      <c r="AGK14" s="196"/>
      <c r="AGL14" s="196"/>
      <c r="AGM14" s="196"/>
      <c r="AGN14" s="129"/>
      <c r="AGO14" s="129"/>
      <c r="AGP14" s="195" t="s">
        <v>35</v>
      </c>
      <c r="AGQ14" s="195"/>
      <c r="AGR14" s="195"/>
      <c r="AGS14" s="195"/>
      <c r="AGT14" s="104"/>
      <c r="AGU14" s="104"/>
      <c r="AGV14" s="196" t="s">
        <v>23</v>
      </c>
      <c r="AGW14" s="196"/>
      <c r="AGX14" s="196"/>
      <c r="AGY14" s="196"/>
      <c r="AGZ14" s="129"/>
      <c r="AHA14" s="129"/>
      <c r="AHB14" s="195" t="s">
        <v>36</v>
      </c>
      <c r="AHC14" s="195"/>
      <c r="AHD14" s="195"/>
      <c r="AHE14" s="195"/>
      <c r="AHF14" s="104"/>
      <c r="AHG14" s="104"/>
      <c r="AHH14" s="196" t="s">
        <v>24</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21</v>
      </c>
      <c r="AIG14" s="196"/>
      <c r="AIH14" s="196"/>
      <c r="AII14" s="196"/>
      <c r="AIJ14" s="129"/>
      <c r="AIK14" s="129"/>
      <c r="AIL14" s="195" t="s">
        <v>34</v>
      </c>
      <c r="AIM14" s="195"/>
      <c r="AIN14" s="195"/>
      <c r="AIO14" s="195"/>
      <c r="AIP14" s="104"/>
      <c r="AIQ14" s="104"/>
      <c r="AIR14" s="196" t="s">
        <v>22</v>
      </c>
      <c r="AIS14" s="196"/>
      <c r="AIT14" s="196"/>
      <c r="AIU14" s="196"/>
      <c r="AIV14" s="129"/>
      <c r="AIW14" s="129"/>
      <c r="AIX14" s="195" t="s">
        <v>35</v>
      </c>
      <c r="AIY14" s="195"/>
      <c r="AIZ14" s="195"/>
      <c r="AJA14" s="195"/>
      <c r="AJB14" s="104"/>
      <c r="AJC14" s="104"/>
      <c r="AJD14" s="196" t="s">
        <v>23</v>
      </c>
      <c r="AJE14" s="196"/>
      <c r="AJF14" s="196"/>
      <c r="AJG14" s="196"/>
      <c r="AJH14" s="129"/>
      <c r="AJI14" s="129"/>
      <c r="AJJ14" s="195" t="s">
        <v>36</v>
      </c>
      <c r="AJK14" s="195"/>
      <c r="AJL14" s="195"/>
      <c r="AJM14" s="195"/>
      <c r="AJN14" s="104"/>
      <c r="AJO14" s="104"/>
      <c r="AJP14" s="196" t="s">
        <v>24</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21</v>
      </c>
      <c r="AKO14" s="196"/>
      <c r="AKP14" s="196"/>
      <c r="AKQ14" s="196"/>
      <c r="AKR14" s="129"/>
      <c r="AKS14" s="129"/>
      <c r="AKT14" s="195" t="s">
        <v>34</v>
      </c>
      <c r="AKU14" s="195"/>
      <c r="AKV14" s="195"/>
      <c r="AKW14" s="195"/>
      <c r="AKX14" s="104"/>
      <c r="AKY14" s="104"/>
      <c r="AKZ14" s="196" t="s">
        <v>22</v>
      </c>
      <c r="ALA14" s="196"/>
      <c r="ALB14" s="196"/>
      <c r="ALC14" s="196"/>
      <c r="ALD14" s="129"/>
      <c r="ALE14" s="129"/>
      <c r="ALF14" s="195" t="s">
        <v>35</v>
      </c>
      <c r="ALG14" s="195"/>
      <c r="ALH14" s="195"/>
      <c r="ALI14" s="195"/>
      <c r="ALJ14" s="104"/>
      <c r="ALK14" s="104"/>
      <c r="ALL14" s="196" t="s">
        <v>23</v>
      </c>
      <c r="ALM14" s="196"/>
      <c r="ALN14" s="196"/>
      <c r="ALO14" s="196"/>
      <c r="ALP14" s="129"/>
      <c r="ALQ14" s="129"/>
      <c r="ALR14" s="195" t="s">
        <v>36</v>
      </c>
      <c r="ALS14" s="195"/>
      <c r="ALT14" s="195"/>
      <c r="ALU14" s="195"/>
      <c r="ALV14" s="104"/>
      <c r="ALW14" s="104"/>
      <c r="ALX14" s="196" t="s">
        <v>24</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21</v>
      </c>
      <c r="AMW14" s="196"/>
      <c r="AMX14" s="196"/>
      <c r="AMY14" s="196"/>
      <c r="AMZ14" s="129"/>
      <c r="ANA14" s="129"/>
      <c r="ANB14" s="195" t="s">
        <v>34</v>
      </c>
      <c r="ANC14" s="195"/>
      <c r="AND14" s="195"/>
      <c r="ANE14" s="195"/>
      <c r="ANF14" s="104"/>
      <c r="ANG14" s="104"/>
      <c r="ANH14" s="196" t="s">
        <v>22</v>
      </c>
      <c r="ANI14" s="196"/>
      <c r="ANJ14" s="196"/>
      <c r="ANK14" s="196"/>
      <c r="ANL14" s="129"/>
      <c r="ANM14" s="129"/>
      <c r="ANN14" s="195" t="s">
        <v>35</v>
      </c>
      <c r="ANO14" s="195"/>
      <c r="ANP14" s="195"/>
      <c r="ANQ14" s="195"/>
      <c r="ANR14" s="104"/>
      <c r="ANS14" s="104"/>
      <c r="ANT14" s="196" t="s">
        <v>23</v>
      </c>
      <c r="ANU14" s="196"/>
      <c r="ANV14" s="196"/>
      <c r="ANW14" s="196"/>
      <c r="ANX14" s="129"/>
      <c r="ANY14" s="129"/>
      <c r="ANZ14" s="195" t="s">
        <v>36</v>
      </c>
      <c r="AOA14" s="195"/>
      <c r="AOB14" s="195"/>
      <c r="AOC14" s="195"/>
      <c r="AOD14" s="104"/>
      <c r="AOE14" s="104"/>
      <c r="AOF14" s="196" t="s">
        <v>24</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21</v>
      </c>
      <c r="APE14" s="196"/>
      <c r="APF14" s="196"/>
      <c r="APG14" s="196"/>
      <c r="APH14" s="129"/>
      <c r="API14" s="129"/>
      <c r="APJ14" s="195" t="s">
        <v>34</v>
      </c>
      <c r="APK14" s="195"/>
      <c r="APL14" s="195"/>
      <c r="APM14" s="195"/>
      <c r="APN14" s="104"/>
      <c r="APO14" s="104"/>
      <c r="APP14" s="196" t="s">
        <v>22</v>
      </c>
      <c r="APQ14" s="196"/>
      <c r="APR14" s="196"/>
      <c r="APS14" s="196"/>
      <c r="APT14" s="129"/>
      <c r="APU14" s="129"/>
      <c r="APV14" s="195" t="s">
        <v>35</v>
      </c>
      <c r="APW14" s="195"/>
      <c r="APX14" s="195"/>
      <c r="APY14" s="195"/>
      <c r="APZ14" s="104"/>
      <c r="AQA14" s="104"/>
      <c r="AQB14" s="196" t="s">
        <v>23</v>
      </c>
      <c r="AQC14" s="196"/>
      <c r="AQD14" s="196"/>
      <c r="AQE14" s="196"/>
      <c r="AQF14" s="129"/>
      <c r="AQG14" s="129"/>
      <c r="AQH14" s="195" t="s">
        <v>36</v>
      </c>
      <c r="AQI14" s="195"/>
      <c r="AQJ14" s="195"/>
      <c r="AQK14" s="195"/>
      <c r="AQL14" s="104"/>
      <c r="AQM14" s="104"/>
      <c r="AQN14" s="196" t="s">
        <v>24</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21</v>
      </c>
      <c r="ARM14" s="196"/>
      <c r="ARN14" s="196"/>
      <c r="ARO14" s="196"/>
      <c r="ARP14" s="129"/>
      <c r="ARQ14" s="129"/>
      <c r="ARR14" s="195" t="s">
        <v>34</v>
      </c>
      <c r="ARS14" s="195"/>
      <c r="ART14" s="195"/>
      <c r="ARU14" s="195"/>
      <c r="ARV14" s="104"/>
      <c r="ARW14" s="104"/>
      <c r="ARX14" s="196" t="s">
        <v>22</v>
      </c>
      <c r="ARY14" s="196"/>
      <c r="ARZ14" s="196"/>
      <c r="ASA14" s="196"/>
      <c r="ASB14" s="129"/>
      <c r="ASC14" s="129"/>
      <c r="ASD14" s="195" t="s">
        <v>35</v>
      </c>
      <c r="ASE14" s="195"/>
      <c r="ASF14" s="195"/>
      <c r="ASG14" s="195"/>
      <c r="ASH14" s="104"/>
      <c r="ASI14" s="104"/>
      <c r="ASJ14" s="196" t="s">
        <v>23</v>
      </c>
      <c r="ASK14" s="196"/>
      <c r="ASL14" s="196"/>
      <c r="ASM14" s="196"/>
      <c r="ASN14" s="129"/>
      <c r="ASO14" s="129"/>
      <c r="ASP14" s="195" t="s">
        <v>36</v>
      </c>
      <c r="ASQ14" s="195"/>
      <c r="ASR14" s="195"/>
      <c r="ASS14" s="195"/>
      <c r="AST14" s="104"/>
      <c r="ASU14" s="104"/>
      <c r="ASV14" s="196" t="s">
        <v>24</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21</v>
      </c>
      <c r="ATU14" s="196"/>
      <c r="ATV14" s="196"/>
      <c r="ATW14" s="196"/>
      <c r="ATX14" s="129"/>
      <c r="ATY14" s="129"/>
      <c r="ATZ14" s="195" t="s">
        <v>34</v>
      </c>
      <c r="AUA14" s="195"/>
      <c r="AUB14" s="195"/>
      <c r="AUC14" s="195"/>
      <c r="AUD14" s="104"/>
      <c r="AUE14" s="104"/>
      <c r="AUF14" s="196" t="s">
        <v>22</v>
      </c>
      <c r="AUG14" s="196"/>
      <c r="AUH14" s="196"/>
      <c r="AUI14" s="196"/>
      <c r="AUJ14" s="129"/>
      <c r="AUK14" s="129"/>
      <c r="AUL14" s="195" t="s">
        <v>35</v>
      </c>
      <c r="AUM14" s="195"/>
      <c r="AUN14" s="195"/>
      <c r="AUO14" s="195"/>
      <c r="AUP14" s="104"/>
      <c r="AUQ14" s="104"/>
      <c r="AUR14" s="196" t="s">
        <v>23</v>
      </c>
      <c r="AUS14" s="196"/>
      <c r="AUT14" s="196"/>
      <c r="AUU14" s="196"/>
      <c r="AUV14" s="129"/>
      <c r="AUW14" s="129"/>
      <c r="AUX14" s="195" t="s">
        <v>36</v>
      </c>
      <c r="AUY14" s="195"/>
      <c r="AUZ14" s="195"/>
      <c r="AVA14" s="195"/>
      <c r="AVB14" s="104"/>
      <c r="AVC14" s="104"/>
      <c r="AVD14" s="196" t="s">
        <v>24</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21</v>
      </c>
      <c r="AWC14" s="196"/>
      <c r="AWD14" s="196"/>
      <c r="AWE14" s="196"/>
      <c r="AWF14" s="129"/>
      <c r="AWG14" s="129"/>
      <c r="AWH14" s="195" t="s">
        <v>34</v>
      </c>
      <c r="AWI14" s="195"/>
      <c r="AWJ14" s="195"/>
      <c r="AWK14" s="195"/>
      <c r="AWL14" s="104"/>
      <c r="AWM14" s="104"/>
      <c r="AWN14" s="196" t="s">
        <v>22</v>
      </c>
      <c r="AWO14" s="196"/>
      <c r="AWP14" s="196"/>
      <c r="AWQ14" s="196"/>
      <c r="AWR14" s="129"/>
      <c r="AWS14" s="129"/>
      <c r="AWT14" s="195" t="s">
        <v>35</v>
      </c>
      <c r="AWU14" s="195"/>
      <c r="AWV14" s="195"/>
      <c r="AWW14" s="195"/>
      <c r="AWX14" s="104"/>
      <c r="AWY14" s="104"/>
      <c r="AWZ14" s="196" t="s">
        <v>23</v>
      </c>
      <c r="AXA14" s="196"/>
      <c r="AXB14" s="196"/>
      <c r="AXC14" s="196"/>
      <c r="AXD14" s="129"/>
      <c r="AXE14" s="129"/>
      <c r="AXF14" s="195" t="s">
        <v>36</v>
      </c>
      <c r="AXG14" s="195"/>
      <c r="AXH14" s="195"/>
      <c r="AXI14" s="195"/>
      <c r="AXJ14" s="104"/>
      <c r="AXK14" s="104"/>
      <c r="AXL14" s="196" t="s">
        <v>24</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21</v>
      </c>
      <c r="AYK14" s="196"/>
      <c r="AYL14" s="196"/>
      <c r="AYM14" s="196"/>
      <c r="AYN14" s="129"/>
      <c r="AYO14" s="129"/>
      <c r="AYP14" s="195" t="s">
        <v>34</v>
      </c>
      <c r="AYQ14" s="195"/>
      <c r="AYR14" s="195"/>
      <c r="AYS14" s="195"/>
      <c r="AYT14" s="104"/>
      <c r="AYU14" s="104"/>
      <c r="AYV14" s="196" t="s">
        <v>22</v>
      </c>
      <c r="AYW14" s="196"/>
      <c r="AYX14" s="196"/>
      <c r="AYY14" s="196"/>
      <c r="AYZ14" s="129"/>
      <c r="AZA14" s="129"/>
      <c r="AZB14" s="195" t="s">
        <v>35</v>
      </c>
      <c r="AZC14" s="195"/>
      <c r="AZD14" s="195"/>
      <c r="AZE14" s="195"/>
      <c r="AZF14" s="104"/>
      <c r="AZG14" s="104"/>
      <c r="AZH14" s="196" t="s">
        <v>23</v>
      </c>
      <c r="AZI14" s="196"/>
      <c r="AZJ14" s="196"/>
      <c r="AZK14" s="196"/>
      <c r="AZL14" s="129"/>
      <c r="AZM14" s="129"/>
      <c r="AZN14" s="195" t="s">
        <v>36</v>
      </c>
      <c r="AZO14" s="195"/>
      <c r="AZP14" s="195"/>
      <c r="AZQ14" s="195"/>
      <c r="AZR14" s="104"/>
      <c r="AZS14" s="104"/>
      <c r="AZT14" s="196" t="s">
        <v>24</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21</v>
      </c>
      <c r="BAS14" s="196"/>
      <c r="BAT14" s="196"/>
      <c r="BAU14" s="196"/>
      <c r="BAV14" s="129"/>
      <c r="BAW14" s="129"/>
      <c r="BAX14" s="195" t="s">
        <v>34</v>
      </c>
      <c r="BAY14" s="195"/>
      <c r="BAZ14" s="195"/>
      <c r="BBA14" s="195"/>
      <c r="BBB14" s="104"/>
      <c r="BBC14" s="104"/>
      <c r="BBD14" s="196" t="s">
        <v>22</v>
      </c>
      <c r="BBE14" s="196"/>
      <c r="BBF14" s="196"/>
      <c r="BBG14" s="196"/>
      <c r="BBH14" s="129"/>
      <c r="BBI14" s="129"/>
      <c r="BBJ14" s="195" t="s">
        <v>35</v>
      </c>
      <c r="BBK14" s="195"/>
      <c r="BBL14" s="195"/>
      <c r="BBM14" s="195"/>
      <c r="BBN14" s="104"/>
      <c r="BBO14" s="104"/>
      <c r="BBP14" s="196" t="s">
        <v>23</v>
      </c>
      <c r="BBQ14" s="196"/>
      <c r="BBR14" s="196"/>
      <c r="BBS14" s="196"/>
      <c r="BBT14" s="129"/>
      <c r="BBU14" s="129"/>
      <c r="BBV14" s="195" t="s">
        <v>36</v>
      </c>
      <c r="BBW14" s="195"/>
      <c r="BBX14" s="195"/>
      <c r="BBY14" s="195"/>
      <c r="BBZ14" s="104"/>
      <c r="BCA14" s="104"/>
      <c r="BCB14" s="196" t="s">
        <v>24</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21</v>
      </c>
      <c r="BDA14" s="196"/>
      <c r="BDB14" s="196"/>
      <c r="BDC14" s="196"/>
      <c r="BDD14" s="129"/>
      <c r="BDE14" s="129"/>
      <c r="BDF14" s="195" t="s">
        <v>34</v>
      </c>
      <c r="BDG14" s="195"/>
      <c r="BDH14" s="195"/>
      <c r="BDI14" s="195"/>
      <c r="BDJ14" s="104"/>
      <c r="BDK14" s="104"/>
      <c r="BDL14" s="196" t="s">
        <v>22</v>
      </c>
      <c r="BDM14" s="196"/>
      <c r="BDN14" s="196"/>
      <c r="BDO14" s="196"/>
      <c r="BDP14" s="129"/>
      <c r="BDQ14" s="129"/>
      <c r="BDR14" s="195" t="s">
        <v>35</v>
      </c>
      <c r="BDS14" s="195"/>
      <c r="BDT14" s="195"/>
      <c r="BDU14" s="195"/>
      <c r="BDV14" s="104"/>
      <c r="BDW14" s="104"/>
      <c r="BDX14" s="196" t="s">
        <v>23</v>
      </c>
      <c r="BDY14" s="196"/>
      <c r="BDZ14" s="196"/>
      <c r="BEA14" s="196"/>
      <c r="BEB14" s="129"/>
      <c r="BEC14" s="129"/>
      <c r="BED14" s="195" t="s">
        <v>36</v>
      </c>
      <c r="BEE14" s="195"/>
      <c r="BEF14" s="195"/>
      <c r="BEG14" s="195"/>
      <c r="BEH14" s="104"/>
      <c r="BEI14" s="104"/>
      <c r="BEJ14" s="196" t="s">
        <v>24</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21</v>
      </c>
      <c r="BFI14" s="196"/>
      <c r="BFJ14" s="196"/>
      <c r="BFK14" s="196"/>
      <c r="BFL14" s="129"/>
      <c r="BFM14" s="129"/>
      <c r="BFN14" s="195" t="s">
        <v>34</v>
      </c>
      <c r="BFO14" s="195"/>
      <c r="BFP14" s="195"/>
      <c r="BFQ14" s="195"/>
      <c r="BFR14" s="104"/>
      <c r="BFS14" s="104"/>
      <c r="BFT14" s="196" t="s">
        <v>22</v>
      </c>
      <c r="BFU14" s="196"/>
      <c r="BFV14" s="196"/>
      <c r="BFW14" s="196"/>
      <c r="BFX14" s="129"/>
      <c r="BFY14" s="129"/>
      <c r="BFZ14" s="195" t="s">
        <v>35</v>
      </c>
      <c r="BGA14" s="195"/>
      <c r="BGB14" s="195"/>
      <c r="BGC14" s="195"/>
      <c r="BGD14" s="104"/>
      <c r="BGE14" s="104"/>
      <c r="BGF14" s="196" t="s">
        <v>23</v>
      </c>
      <c r="BGG14" s="196"/>
      <c r="BGH14" s="196"/>
      <c r="BGI14" s="196"/>
      <c r="BGJ14" s="129"/>
      <c r="BGK14" s="129"/>
      <c r="BGL14" s="195" t="s">
        <v>36</v>
      </c>
      <c r="BGM14" s="195"/>
      <c r="BGN14" s="195"/>
      <c r="BGO14" s="195"/>
      <c r="BGP14" s="104"/>
      <c r="BGQ14" s="104"/>
      <c r="BGR14" s="196" t="s">
        <v>24</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21</v>
      </c>
      <c r="BHQ14" s="196"/>
      <c r="BHR14" s="196"/>
      <c r="BHS14" s="196"/>
      <c r="BHT14" s="129"/>
      <c r="BHU14" s="129"/>
      <c r="BHV14" s="195" t="s">
        <v>34</v>
      </c>
      <c r="BHW14" s="195"/>
      <c r="BHX14" s="195"/>
      <c r="BHY14" s="195"/>
      <c r="BHZ14" s="104"/>
      <c r="BIA14" s="104"/>
      <c r="BIB14" s="196" t="s">
        <v>22</v>
      </c>
      <c r="BIC14" s="196"/>
      <c r="BID14" s="196"/>
      <c r="BIE14" s="196"/>
      <c r="BIF14" s="129"/>
      <c r="BIG14" s="129"/>
      <c r="BIH14" s="195" t="s">
        <v>35</v>
      </c>
      <c r="BII14" s="195"/>
      <c r="BIJ14" s="195"/>
      <c r="BIK14" s="195"/>
      <c r="BIL14" s="104"/>
      <c r="BIM14" s="104"/>
      <c r="BIN14" s="196" t="s">
        <v>23</v>
      </c>
      <c r="BIO14" s="196"/>
      <c r="BIP14" s="196"/>
      <c r="BIQ14" s="196"/>
      <c r="BIR14" s="129"/>
      <c r="BIS14" s="129"/>
      <c r="BIT14" s="195" t="s">
        <v>36</v>
      </c>
      <c r="BIU14" s="195"/>
      <c r="BIV14" s="195"/>
      <c r="BIW14" s="195"/>
      <c r="BIX14" s="104"/>
      <c r="BIY14" s="104"/>
      <c r="BIZ14" s="196" t="s">
        <v>24</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21</v>
      </c>
      <c r="BJY14" s="196"/>
      <c r="BJZ14" s="196"/>
      <c r="BKA14" s="196"/>
      <c r="BKB14" s="129"/>
      <c r="BKC14" s="129"/>
      <c r="BKD14" s="195" t="s">
        <v>34</v>
      </c>
      <c r="BKE14" s="195"/>
      <c r="BKF14" s="195"/>
      <c r="BKG14" s="195"/>
      <c r="BKH14" s="104"/>
      <c r="BKI14" s="104"/>
      <c r="BKJ14" s="196" t="s">
        <v>22</v>
      </c>
      <c r="BKK14" s="196"/>
      <c r="BKL14" s="196"/>
      <c r="BKM14" s="196"/>
      <c r="BKN14" s="129"/>
      <c r="BKO14" s="129"/>
      <c r="BKP14" s="195" t="s">
        <v>35</v>
      </c>
      <c r="BKQ14" s="195"/>
      <c r="BKR14" s="195"/>
      <c r="BKS14" s="195"/>
      <c r="BKT14" s="104"/>
      <c r="BKU14" s="104"/>
      <c r="BKV14" s="196" t="s">
        <v>23</v>
      </c>
      <c r="BKW14" s="196"/>
      <c r="BKX14" s="196"/>
      <c r="BKY14" s="196"/>
      <c r="BKZ14" s="129"/>
      <c r="BLA14" s="129"/>
      <c r="BLB14" s="195" t="s">
        <v>36</v>
      </c>
      <c r="BLC14" s="195"/>
      <c r="BLD14" s="195"/>
      <c r="BLE14" s="195"/>
      <c r="BLF14" s="104"/>
      <c r="BLG14" s="104"/>
      <c r="BLH14" s="196" t="s">
        <v>24</v>
      </c>
      <c r="BLI14" s="196"/>
      <c r="BLJ14" s="196"/>
      <c r="BLK14" s="196"/>
      <c r="BLL14" s="129"/>
      <c r="BLM14" s="129"/>
      <c r="BLN14" s="195" t="s">
        <v>37</v>
      </c>
      <c r="BLO14" s="195"/>
      <c r="BLP14" s="195"/>
      <c r="BLQ14" s="195"/>
      <c r="BLR14" s="104"/>
      <c r="BLS14" s="104"/>
      <c r="BLT14" s="104"/>
      <c r="BLU14" s="105"/>
      <c r="BLV14" s="90"/>
    </row>
    <row r="15" spans="1:1686" ht="20.100000000000001" customHeight="1" x14ac:dyDescent="0.25">
      <c r="A15" s="100" t="s">
        <v>17</v>
      </c>
      <c r="B15" s="63" t="str">
        <f>IF(LEN(C15)=0,"",C15)</f>
        <v xml:space="preserve">Absences - imprévus </v>
      </c>
      <c r="C15" s="20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0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0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0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0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0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0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0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0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0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0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0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0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0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0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0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0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0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0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07"/>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0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0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0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0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0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05"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197" t="s">
        <v>5</v>
      </c>
      <c r="D95" s="19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199"/>
      <c r="D96" s="20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1" t="s">
        <v>6</v>
      </c>
      <c r="D97" s="202"/>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3"/>
      <c r="D98" s="204"/>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abSelected="1" topLeftCell="A298" zoomScaleNormal="100" zoomScaleSheetLayoutView="98" zoomScalePageLayoutView="70" workbookViewId="0">
      <selection activeCell="A306" sqref="A306:XFD306"/>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29"/>
      <c r="F4" s="230"/>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29"/>
      <c r="F16" s="230"/>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29"/>
      <c r="F28" s="230"/>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29"/>
      <c r="F40" s="230"/>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29"/>
      <c r="F52" s="230"/>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29"/>
      <c r="F64" s="230"/>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29"/>
      <c r="F76" s="230"/>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29"/>
      <c r="F88" s="230"/>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29"/>
      <c r="F100" s="230"/>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29"/>
      <c r="F112" s="230"/>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29"/>
      <c r="F124" s="230"/>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29"/>
      <c r="F136" s="230"/>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29"/>
      <c r="F148" s="230"/>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29"/>
      <c r="F160" s="230"/>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29"/>
      <c r="F172" s="230"/>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29"/>
      <c r="F184" s="230"/>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29"/>
      <c r="F196" s="230"/>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29"/>
      <c r="F208" s="230"/>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29"/>
      <c r="F220" s="230"/>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29"/>
      <c r="F232" s="230"/>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29"/>
      <c r="F244" s="230"/>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29"/>
      <c r="F256" s="230"/>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29"/>
      <c r="F268" s="230"/>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29"/>
      <c r="F280" s="230"/>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29"/>
      <c r="F292" s="230"/>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1"/>
      <c r="F304" s="230"/>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32"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29"/>
      <c r="F328" s="230"/>
      <c r="G328" s="51"/>
    </row>
    <row r="329" spans="1:7" s="52" customFormat="1" x14ac:dyDescent="0.3">
      <c r="A329" s="53" t="s">
        <v>29</v>
      </c>
      <c r="B329" s="54">
        <v>28</v>
      </c>
      <c r="C329" s="153" t="str">
        <f t="shared" ref="C329:C335" si="27" xml:space="preserve"> IF(B329="","",setValueToTime(B329))</f>
        <v>2h20min</v>
      </c>
      <c r="D329" s="55" t="s">
        <v>90</v>
      </c>
      <c r="E329" s="232"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zoomScaleNormal="100" zoomScaleSheetLayoutView="98" workbookViewId="0">
      <pane ySplit="1" topLeftCell="A311" activePane="bottomLeft" state="frozen"/>
      <selection pane="bottomLeft" activeCell="D309" sqref="D309"/>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29"/>
      <c r="F160" s="230"/>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29"/>
      <c r="F172" s="230"/>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29"/>
      <c r="F184" s="230"/>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c r="B196" s="49"/>
      <c r="C196" s="152" t="str">
        <f xml:space="preserve"> IF(B196="","",setValueToTime(B196))</f>
        <v/>
      </c>
      <c r="D196" s="50"/>
      <c r="E196" s="229"/>
      <c r="F196" s="230"/>
      <c r="G196" s="51"/>
    </row>
    <row r="197" spans="1:7" s="52" customFormat="1" x14ac:dyDescent="0.3">
      <c r="A197" s="53"/>
      <c r="B197" s="54"/>
      <c r="C197" s="153" t="str">
        <f t="shared" ref="C197:C203" si="16" xml:space="preserve"> IF(B197="","",setValueToTime(B197))</f>
        <v/>
      </c>
      <c r="D197" s="55"/>
      <c r="E197" s="221"/>
      <c r="F197" s="222"/>
      <c r="G197" s="51"/>
    </row>
    <row r="198" spans="1:7" s="52" customFormat="1" x14ac:dyDescent="0.3">
      <c r="A198" s="53"/>
      <c r="B198" s="54"/>
      <c r="C198" s="153" t="str">
        <f t="shared" si="16"/>
        <v/>
      </c>
      <c r="D198" s="55"/>
      <c r="E198" s="221"/>
      <c r="F198" s="222"/>
      <c r="G198" s="51"/>
    </row>
    <row r="199" spans="1:7" s="52" customFormat="1" x14ac:dyDescent="0.3">
      <c r="A199" s="53"/>
      <c r="B199" s="54"/>
      <c r="C199" s="153" t="str">
        <f t="shared" si="16"/>
        <v/>
      </c>
      <c r="D199" s="55"/>
      <c r="E199" s="221"/>
      <c r="F199" s="222"/>
      <c r="G199" s="51"/>
    </row>
    <row r="200" spans="1:7" s="52" customFormat="1" x14ac:dyDescent="0.3">
      <c r="A200" s="54"/>
      <c r="B200" s="54"/>
      <c r="C200" s="154" t="str">
        <f t="shared" si="16"/>
        <v/>
      </c>
      <c r="D200" s="55"/>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0</v>
      </c>
      <c r="C204" s="162" t="str">
        <f xml:space="preserve"> setValueToTime(B204)</f>
        <v>0h</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c r="B208" s="49"/>
      <c r="C208" s="152" t="str">
        <f xml:space="preserve"> IF(B208="","",setValueToTime(B208))</f>
        <v/>
      </c>
      <c r="D208" s="50"/>
      <c r="E208" s="229"/>
      <c r="F208" s="230"/>
      <c r="G208" s="51"/>
    </row>
    <row r="209" spans="1:7" s="52" customFormat="1" x14ac:dyDescent="0.3">
      <c r="A209" s="53"/>
      <c r="B209" s="54"/>
      <c r="C209" s="153" t="str">
        <f t="shared" ref="C209:C215" si="17" xml:space="preserve"> IF(B209="","",setValueToTime(B209))</f>
        <v/>
      </c>
      <c r="D209" s="55"/>
      <c r="E209" s="221"/>
      <c r="F209" s="222"/>
      <c r="G209" s="51"/>
    </row>
    <row r="210" spans="1:7" s="52" customFormat="1" x14ac:dyDescent="0.3">
      <c r="A210" s="53"/>
      <c r="B210" s="54"/>
      <c r="C210" s="153" t="str">
        <f t="shared" si="17"/>
        <v/>
      </c>
      <c r="D210" s="55"/>
      <c r="E210" s="221"/>
      <c r="F210" s="222"/>
      <c r="G210" s="51"/>
    </row>
    <row r="211" spans="1:7" s="52" customFormat="1" x14ac:dyDescent="0.3">
      <c r="A211" s="53"/>
      <c r="B211" s="54"/>
      <c r="C211" s="153" t="str">
        <f t="shared" si="17"/>
        <v/>
      </c>
      <c r="D211" s="55"/>
      <c r="E211" s="221"/>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62" t="s">
        <v>26</v>
      </c>
      <c r="B216" s="83">
        <f>SUM(B208:B215)</f>
        <v>0</v>
      </c>
      <c r="C216" s="162" t="str">
        <f xml:space="preserve"> setValueToTime(B216)</f>
        <v>0h</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x14ac:dyDescent="0.3">
      <c r="A220" s="48"/>
      <c r="B220" s="49"/>
      <c r="C220" s="152" t="str">
        <f xml:space="preserve"> IF(B220="","",setValueToTime(B220))</f>
        <v/>
      </c>
      <c r="D220" s="50"/>
      <c r="E220" s="229"/>
      <c r="F220" s="230"/>
      <c r="G220" s="51"/>
    </row>
    <row r="221" spans="1:7" s="52" customFormat="1" x14ac:dyDescent="0.3">
      <c r="A221" s="53"/>
      <c r="B221" s="54"/>
      <c r="C221" s="153" t="str">
        <f t="shared" ref="C221:C227" si="18" xml:space="preserve"> IF(B221="","",setValueToTime(B221))</f>
        <v/>
      </c>
      <c r="D221" s="55"/>
      <c r="E221" s="221"/>
      <c r="F221" s="222"/>
      <c r="G221" s="51"/>
    </row>
    <row r="222" spans="1:7" s="52" customFormat="1" x14ac:dyDescent="0.3">
      <c r="A222" s="53"/>
      <c r="B222" s="54"/>
      <c r="C222" s="153" t="str">
        <f t="shared" si="18"/>
        <v/>
      </c>
      <c r="D222" s="55"/>
      <c r="E222" s="221"/>
      <c r="F222" s="222"/>
      <c r="G222" s="51"/>
    </row>
    <row r="223" spans="1:7" s="52" customFormat="1" x14ac:dyDescent="0.3">
      <c r="A223" s="53"/>
      <c r="B223" s="54"/>
      <c r="C223" s="153" t="str">
        <f t="shared" si="18"/>
        <v/>
      </c>
      <c r="D223" s="55"/>
      <c r="E223" s="221"/>
      <c r="F223" s="222"/>
      <c r="G223" s="51"/>
    </row>
    <row r="224" spans="1:7" s="52" customFormat="1" x14ac:dyDescent="0.3">
      <c r="A224" s="54"/>
      <c r="B224" s="54"/>
      <c r="C224" s="154" t="str">
        <f t="shared" si="18"/>
        <v/>
      </c>
      <c r="D224" s="55"/>
      <c r="E224" s="221"/>
      <c r="F224" s="222"/>
      <c r="G224" s="51"/>
    </row>
    <row r="225" spans="1:7" s="52" customFormat="1" x14ac:dyDescent="0.3">
      <c r="A225" s="54"/>
      <c r="B225" s="54"/>
      <c r="C225" s="154" t="str">
        <f t="shared" si="18"/>
        <v/>
      </c>
      <c r="D225" s="55"/>
      <c r="E225" s="221"/>
      <c r="F225" s="222"/>
      <c r="G225" s="51"/>
    </row>
    <row r="226" spans="1:7" s="52" customFormat="1" x14ac:dyDescent="0.3">
      <c r="A226" s="54"/>
      <c r="B226" s="54"/>
      <c r="C226" s="154" t="str">
        <f t="shared" si="18"/>
        <v/>
      </c>
      <c r="D226" s="55"/>
      <c r="E226" s="221"/>
      <c r="F226" s="222"/>
      <c r="G226" s="51"/>
    </row>
    <row r="227" spans="1:7" s="52" customFormat="1" ht="15" thickBot="1" x14ac:dyDescent="0.35">
      <c r="A227" s="56"/>
      <c r="B227" s="56"/>
      <c r="C227" s="155" t="str">
        <f t="shared" si="18"/>
        <v/>
      </c>
      <c r="D227" s="57"/>
      <c r="E227" s="223"/>
      <c r="F227" s="224"/>
      <c r="G227" s="51"/>
    </row>
    <row r="228" spans="1:7" s="52" customFormat="1" ht="15" thickBot="1" x14ac:dyDescent="0.35">
      <c r="A228" s="162" t="s">
        <v>26</v>
      </c>
      <c r="B228" s="83">
        <f>SUM(B220:B227)</f>
        <v>0</v>
      </c>
      <c r="C228" s="162" t="str">
        <f xml:space="preserve"> setValueToTime(B228)</f>
        <v>0h</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c r="B232" s="49"/>
      <c r="C232" s="152" t="str">
        <f xml:space="preserve"> IF(B232="","",setValueToTime(B232))</f>
        <v/>
      </c>
      <c r="D232" s="50"/>
      <c r="E232" s="229"/>
      <c r="F232" s="230"/>
      <c r="G232" s="51"/>
    </row>
    <row r="233" spans="1:7" s="52" customFormat="1" x14ac:dyDescent="0.3">
      <c r="A233" s="53"/>
      <c r="B233" s="54"/>
      <c r="C233" s="153" t="str">
        <f t="shared" ref="C233:C239" si="19" xml:space="preserve"> IF(B233="","",setValueToTime(B233))</f>
        <v/>
      </c>
      <c r="D233" s="55"/>
      <c r="E233" s="221"/>
      <c r="F233" s="222"/>
      <c r="G233" s="51"/>
    </row>
    <row r="234" spans="1:7" s="52" customFormat="1" x14ac:dyDescent="0.3">
      <c r="A234" s="53"/>
      <c r="B234" s="54"/>
      <c r="C234" s="153" t="str">
        <f t="shared" si="19"/>
        <v/>
      </c>
      <c r="D234" s="55"/>
      <c r="E234" s="221"/>
      <c r="F234" s="222"/>
      <c r="G234" s="51"/>
    </row>
    <row r="235" spans="1:7" s="52" customFormat="1" x14ac:dyDescent="0.3">
      <c r="A235" s="53"/>
      <c r="B235" s="54"/>
      <c r="C235" s="153" t="str">
        <f t="shared" si="19"/>
        <v/>
      </c>
      <c r="D235" s="55"/>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62" t="s">
        <v>26</v>
      </c>
      <c r="B240" s="83">
        <f>SUM(B232:B239)</f>
        <v>0</v>
      </c>
      <c r="C240" s="162" t="str">
        <f xml:space="preserve"> setValueToTime(B240)</f>
        <v>0h</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x14ac:dyDescent="0.3">
      <c r="A244" s="48"/>
      <c r="B244" s="49"/>
      <c r="C244" s="152" t="str">
        <f xml:space="preserve"> IF(B244="","",setValueToTime(B244))</f>
        <v/>
      </c>
      <c r="D244" s="50"/>
      <c r="E244" s="229"/>
      <c r="F244" s="230"/>
      <c r="G244" s="51"/>
    </row>
    <row r="245" spans="1:7" s="52" customFormat="1" x14ac:dyDescent="0.3">
      <c r="A245" s="53"/>
      <c r="B245" s="54"/>
      <c r="C245" s="153" t="str">
        <f t="shared" ref="C245:C251" si="20" xml:space="preserve"> IF(B245="","",setValueToTime(B245))</f>
        <v/>
      </c>
      <c r="D245" s="55"/>
      <c r="E245" s="221"/>
      <c r="F245" s="222"/>
      <c r="G245" s="51"/>
    </row>
    <row r="246" spans="1:7" s="52" customFormat="1" x14ac:dyDescent="0.3">
      <c r="A246" s="53"/>
      <c r="B246" s="54"/>
      <c r="C246" s="153" t="str">
        <f t="shared" si="20"/>
        <v/>
      </c>
      <c r="D246" s="55"/>
      <c r="E246" s="221"/>
      <c r="F246" s="222"/>
      <c r="G246" s="51"/>
    </row>
    <row r="247" spans="1:7" s="52" customFormat="1" x14ac:dyDescent="0.3">
      <c r="A247" s="53"/>
      <c r="B247" s="54"/>
      <c r="C247" s="153" t="str">
        <f t="shared" si="20"/>
        <v/>
      </c>
      <c r="D247" s="55"/>
      <c r="E247" s="221"/>
      <c r="F247" s="222"/>
      <c r="G247" s="51"/>
    </row>
    <row r="248" spans="1:7" s="52" customFormat="1" x14ac:dyDescent="0.3">
      <c r="A248" s="54"/>
      <c r="B248" s="54"/>
      <c r="C248" s="154" t="str">
        <f t="shared" si="20"/>
        <v/>
      </c>
      <c r="D248" s="55"/>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62" t="s">
        <v>26</v>
      </c>
      <c r="B252" s="83">
        <f>SUM(B244:B251)</f>
        <v>0</v>
      </c>
      <c r="C252" s="162" t="str">
        <f xml:space="preserve"> setValueToTime(B252)</f>
        <v>0h</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x14ac:dyDescent="0.3">
      <c r="A256" s="48"/>
      <c r="B256" s="49"/>
      <c r="C256" s="152" t="str">
        <f xml:space="preserve"> IF(B256="","",setValueToTime(B256))</f>
        <v/>
      </c>
      <c r="D256" s="50"/>
      <c r="E256" s="229"/>
      <c r="F256" s="230"/>
      <c r="G256" s="51"/>
    </row>
    <row r="257" spans="1:7" s="52" customFormat="1" x14ac:dyDescent="0.3">
      <c r="A257" s="53"/>
      <c r="B257" s="54"/>
      <c r="C257" s="153" t="str">
        <f t="shared" ref="C257:C263" si="21" xml:space="preserve"> IF(B257="","",setValueToTime(B257))</f>
        <v/>
      </c>
      <c r="D257" s="55"/>
      <c r="E257" s="221"/>
      <c r="F257" s="222"/>
      <c r="G257" s="51"/>
    </row>
    <row r="258" spans="1:7" s="52" customFormat="1" x14ac:dyDescent="0.3">
      <c r="A258" s="53"/>
      <c r="B258" s="54"/>
      <c r="C258" s="153" t="str">
        <f t="shared" si="21"/>
        <v/>
      </c>
      <c r="D258" s="55"/>
      <c r="E258" s="221"/>
      <c r="F258" s="222"/>
      <c r="G258" s="51"/>
    </row>
    <row r="259" spans="1:7" s="52" customFormat="1" x14ac:dyDescent="0.3">
      <c r="A259" s="53"/>
      <c r="B259" s="54"/>
      <c r="C259" s="153" t="str">
        <f t="shared" si="21"/>
        <v/>
      </c>
      <c r="D259" s="55"/>
      <c r="E259" s="221"/>
      <c r="F259" s="222"/>
      <c r="G259" s="51"/>
    </row>
    <row r="260" spans="1:7" s="52" customFormat="1" x14ac:dyDescent="0.3">
      <c r="A260" s="54"/>
      <c r="B260" s="54"/>
      <c r="C260" s="154" t="str">
        <f t="shared" si="21"/>
        <v/>
      </c>
      <c r="D260" s="55"/>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62" t="s">
        <v>26</v>
      </c>
      <c r="B264" s="83">
        <f>SUM(B256:B263)</f>
        <v>0</v>
      </c>
      <c r="C264" s="162" t="str">
        <f xml:space="preserve"> setValueToTime(B264)</f>
        <v>0h</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x14ac:dyDescent="0.3">
      <c r="A268" s="48"/>
      <c r="B268" s="49"/>
      <c r="C268" s="152" t="str">
        <f xml:space="preserve"> IF(B268="","",setValueToTime(B268))</f>
        <v/>
      </c>
      <c r="D268" s="50"/>
      <c r="E268" s="229"/>
      <c r="F268" s="230"/>
      <c r="G268" s="51"/>
    </row>
    <row r="269" spans="1:7" s="52" customFormat="1" x14ac:dyDescent="0.3">
      <c r="A269" s="53"/>
      <c r="B269" s="54"/>
      <c r="C269" s="153" t="str">
        <f t="shared" ref="C269:C275" si="22" xml:space="preserve"> IF(B269="","",setValueToTime(B269))</f>
        <v/>
      </c>
      <c r="D269" s="55"/>
      <c r="E269" s="221"/>
      <c r="F269" s="222"/>
      <c r="G269" s="51"/>
    </row>
    <row r="270" spans="1:7" s="52" customFormat="1" x14ac:dyDescent="0.3">
      <c r="A270" s="53"/>
      <c r="B270" s="54"/>
      <c r="C270" s="153" t="str">
        <f t="shared" si="22"/>
        <v/>
      </c>
      <c r="D270" s="55"/>
      <c r="E270" s="221"/>
      <c r="F270" s="222"/>
      <c r="G270" s="51"/>
    </row>
    <row r="271" spans="1:7" s="52" customFormat="1" x14ac:dyDescent="0.3">
      <c r="A271" s="53"/>
      <c r="B271" s="54"/>
      <c r="C271" s="153" t="str">
        <f t="shared" si="22"/>
        <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62" t="s">
        <v>26</v>
      </c>
      <c r="B276" s="83">
        <f>SUM(B268:B275)</f>
        <v>0</v>
      </c>
      <c r="C276" s="162" t="str">
        <f xml:space="preserve"> setValueToTime(B276)</f>
        <v>0h</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x14ac:dyDescent="0.3">
      <c r="A280" s="48"/>
      <c r="B280" s="49"/>
      <c r="C280" s="152" t="str">
        <f xml:space="preserve"> IF(B280="","",setValueToTime(B280))</f>
        <v/>
      </c>
      <c r="D280" s="50"/>
      <c r="E280" s="229"/>
      <c r="F280" s="230"/>
      <c r="G280" s="51"/>
    </row>
    <row r="281" spans="1:7" s="52" customFormat="1" x14ac:dyDescent="0.3">
      <c r="A281" s="53"/>
      <c r="B281" s="54"/>
      <c r="C281" s="153" t="str">
        <f t="shared" ref="C281:C287" si="23" xml:space="preserve"> IF(B281="","",setValueToTime(B281))</f>
        <v/>
      </c>
      <c r="D281" s="55"/>
      <c r="E281" s="221"/>
      <c r="F281" s="222"/>
      <c r="G281" s="51"/>
    </row>
    <row r="282" spans="1:7" s="52" customFormat="1" x14ac:dyDescent="0.3">
      <c r="A282" s="53"/>
      <c r="B282" s="54"/>
      <c r="C282" s="153" t="str">
        <f t="shared" si="23"/>
        <v/>
      </c>
      <c r="D282" s="55"/>
      <c r="E282" s="221"/>
      <c r="F282" s="222"/>
      <c r="G282" s="51"/>
    </row>
    <row r="283" spans="1:7" s="52" customFormat="1" x14ac:dyDescent="0.3">
      <c r="A283" s="53"/>
      <c r="B283" s="54"/>
      <c r="C283" s="153" t="str">
        <f t="shared" si="23"/>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62" t="s">
        <v>26</v>
      </c>
      <c r="B288" s="83">
        <f>SUM(B280:B287)</f>
        <v>0</v>
      </c>
      <c r="C288" s="162" t="str">
        <f xml:space="preserve"> setValueToTime(B288)</f>
        <v>0h</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x14ac:dyDescent="0.3">
      <c r="A292" s="48"/>
      <c r="B292" s="49"/>
      <c r="C292" s="152" t="str">
        <f xml:space="preserve"> IF(B292="","",setValueToTime(B292))</f>
        <v/>
      </c>
      <c r="D292" s="50"/>
      <c r="E292" s="229"/>
      <c r="F292" s="230"/>
      <c r="G292" s="51"/>
    </row>
    <row r="293" spans="1:7" s="52" customFormat="1" x14ac:dyDescent="0.3">
      <c r="A293" s="53"/>
      <c r="B293" s="54"/>
      <c r="C293" s="153" t="str">
        <f t="shared" ref="C293:C299" si="24" xml:space="preserve"> IF(B293="","",setValueToTime(B293))</f>
        <v/>
      </c>
      <c r="D293" s="55"/>
      <c r="E293" s="221"/>
      <c r="F293" s="222"/>
      <c r="G293" s="51"/>
    </row>
    <row r="294" spans="1:7" s="52" customFormat="1" x14ac:dyDescent="0.3">
      <c r="A294" s="53"/>
      <c r="B294" s="54"/>
      <c r="C294" s="153" t="str">
        <f t="shared" si="24"/>
        <v/>
      </c>
      <c r="D294" s="55"/>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62" t="s">
        <v>26</v>
      </c>
      <c r="B300" s="83">
        <f>SUM(B292:B299)</f>
        <v>0</v>
      </c>
      <c r="C300" s="162" t="str">
        <f xml:space="preserve"> setValueToTime(B300)</f>
        <v>0h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1" t="s">
        <v>180</v>
      </c>
      <c r="F304" s="230"/>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96</v>
      </c>
      <c r="E306" s="221"/>
      <c r="F306" s="222"/>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32"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29"/>
      <c r="F328" s="230"/>
      <c r="G328" s="51"/>
    </row>
    <row r="329" spans="1:7" s="52" customFormat="1" ht="27" x14ac:dyDescent="0.3">
      <c r="A329" s="53" t="s">
        <v>29</v>
      </c>
      <c r="B329" s="54">
        <v>28</v>
      </c>
      <c r="C329" s="153" t="str">
        <f t="shared" ref="C329" si="28" xml:space="preserve"> IF(B329="","",setValueToTime(B329))</f>
        <v>2h20min</v>
      </c>
      <c r="D329" s="55" t="s">
        <v>90</v>
      </c>
      <c r="E329" s="232"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90"/>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90"/>
    </row>
    <row r="13" spans="1:61" ht="18.75" thickBot="1" x14ac:dyDescent="0.3">
      <c r="A13" s="192" t="s">
        <v>9</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90"/>
    </row>
    <row r="14" spans="1:61" ht="15.75" thickBot="1" x14ac:dyDescent="0.35">
      <c r="A14" s="103"/>
      <c r="B14" s="104"/>
      <c r="C14" s="104"/>
      <c r="D14" s="104"/>
      <c r="E14" s="195" t="s">
        <v>33</v>
      </c>
      <c r="F14" s="195"/>
      <c r="G14" s="195"/>
      <c r="H14" s="195"/>
      <c r="I14" s="104"/>
      <c r="J14" s="104"/>
      <c r="K14" s="196" t="s">
        <v>21</v>
      </c>
      <c r="L14" s="196"/>
      <c r="M14" s="196"/>
      <c r="N14" s="196"/>
      <c r="O14" s="129"/>
      <c r="P14" s="129"/>
      <c r="Q14" s="195" t="s">
        <v>34</v>
      </c>
      <c r="R14" s="195"/>
      <c r="S14" s="195"/>
      <c r="T14" s="195"/>
      <c r="U14" s="104"/>
      <c r="V14" s="104"/>
      <c r="W14" s="196" t="s">
        <v>22</v>
      </c>
      <c r="X14" s="196"/>
      <c r="Y14" s="196"/>
      <c r="Z14" s="196"/>
      <c r="AA14" s="129"/>
      <c r="AB14" s="129"/>
      <c r="AC14" s="195" t="s">
        <v>35</v>
      </c>
      <c r="AD14" s="195"/>
      <c r="AE14" s="195"/>
      <c r="AF14" s="195"/>
      <c r="AG14" s="104"/>
      <c r="AH14" s="104"/>
      <c r="AI14" s="196" t="s">
        <v>23</v>
      </c>
      <c r="AJ14" s="196"/>
      <c r="AK14" s="196"/>
      <c r="AL14" s="196"/>
      <c r="AM14" s="129"/>
      <c r="AN14" s="129"/>
      <c r="AO14" s="195" t="s">
        <v>36</v>
      </c>
      <c r="AP14" s="195"/>
      <c r="AQ14" s="195"/>
      <c r="AR14" s="195"/>
      <c r="AS14" s="104"/>
      <c r="AT14" s="104"/>
      <c r="AU14" s="196" t="s">
        <v>24</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2023-05-12T10:00:45Z</cp:lastPrinted>
  <dcterms:created xsi:type="dcterms:W3CDTF">1996-10-21T11:03:58Z</dcterms:created>
  <dcterms:modified xsi:type="dcterms:W3CDTF">2023-05-12T14:34:07Z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