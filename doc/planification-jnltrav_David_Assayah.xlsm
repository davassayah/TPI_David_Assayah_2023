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8D86F1C2-86B0-4F34-BA37-3D57BD9F1BFB}"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7" i="12"/>
  <c r="C196" i="12"/>
  <c r="C199" i="12"/>
  <c r="C198" i="12"/>
  <c r="C20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<sst xmlns="http://schemas.openxmlformats.org/spreadsheetml/2006/main" count="1329" uniqueCount="236">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</sst>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drawing" Target="../drawings/drawing4.xml"/><Relationship Id="rId17" Type="http://schemas.openxmlformats.org/officeDocument/2006/relationships/image" Target="../media/image6.emf"/><Relationship Id="rId2" Type="http://schemas.openxmlformats.org/officeDocument/2006/relationships/hyperlink" Target="https://github.com/davassayah/TPI_David_Assayah_2023" TargetMode="External"/><Relationship Id="rId16" Type="http://schemas.openxmlformats.org/officeDocument/2006/relationships/control" Target="../activeX/activeX5.xm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printerSettings" Target="../printerSettings/printerSettings4.bin"/><Relationship Id="rId5" Type="http://schemas.openxmlformats.org/officeDocument/2006/relationships/hyperlink" Target="D-TPI-davassayah-RapportTPI.docx" TargetMode="External"/><Relationship Id="rId15" Type="http://schemas.openxmlformats.org/officeDocument/2006/relationships/image" Target="../media/image5.emf"/><Relationship Id="rId10" Type="http://schemas.openxmlformats.org/officeDocument/2006/relationships/hyperlink" Target="https://www.mysql.com/products/workbench/" TargetMode="External"/><Relationship Id="rId4" Type="http://schemas.openxmlformats.org/officeDocument/2006/relationships/hyperlink" Target="D-TPI-davassayah-RapportTPI.docx" TargetMode="External"/><Relationship Id="rId9" Type="http://schemas.openxmlformats.org/officeDocument/2006/relationships/hyperlink" Target="https://www.databasestar.com/mysql-enum/" TargetMode="External"/><Relationship Id="rId1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87" zoomScaleNormal="100" zoomScaleSheetLayoutView="98" zoomScalePageLayoutView="70" workbookViewId="0">
      <selection activeCell="D195" sqref="D19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86" activePane="bottomLeft" state="frozen"/>
      <selection pane="bottomLeft" activeCell="D200" sqref="D200"/>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233</v>
      </c>
      <c r="E196" s="229"/>
      <c r="F196" s="230"/>
      <c r="G196" s="51"/>
    </row>
    <row r="197" spans="1:7" s="52" customFormat="1" ht="27" x14ac:dyDescent="0.3">
      <c r="A197" s="53" t="s">
        <v>14</v>
      </c>
      <c r="B197" s="54">
        <v>1</v>
      </c>
      <c r="C197" s="153" t="str">
        <f t="shared" ref="C197:C203" si="16" xml:space="preserve"> IF(B197="","",setValueToTime(B197))</f>
        <v>0h5min</v>
      </c>
      <c r="D197" s="55"/>
      <c r="E197" s="221"/>
      <c r="F197" s="222"/>
      <c r="G197" s="51"/>
    </row>
    <row r="198" spans="1:7" s="52" customFormat="1" ht="27" x14ac:dyDescent="0.3">
      <c r="A198" s="53" t="s">
        <v>117</v>
      </c>
      <c r="B198" s="54">
        <v>4</v>
      </c>
      <c r="C198" s="153" t="str">
        <f t="shared" si="16"/>
        <v>0h20min</v>
      </c>
      <c r="D198" s="55" t="s">
        <v>234</v>
      </c>
      <c r="E198" s="221"/>
      <c r="F198" s="222"/>
      <c r="G198" s="51"/>
    </row>
    <row r="199" spans="1:7" s="52" customFormat="1" ht="27" x14ac:dyDescent="0.3">
      <c r="A199" s="53" t="s">
        <v>117</v>
      </c>
      <c r="B199" s="54">
        <v>5</v>
      </c>
      <c r="C199" s="153" t="str">
        <f t="shared" si="16"/>
        <v>0h25min</v>
      </c>
      <c r="D199" s="55" t="s">
        <v>235</v>
      </c>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24</v>
      </c>
      <c r="C204" s="162" t="str">
        <f xml:space="preserve"> setValueToTime(B204)</f>
        <v>2h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226</v>
      </c>
      <c r="E208" s="229"/>
      <c r="F208" s="230"/>
      <c r="G208" s="51"/>
    </row>
    <row r="209" spans="1:7" s="52" customFormat="1" ht="40.5" x14ac:dyDescent="0.3">
      <c r="A209" s="53" t="s">
        <v>13</v>
      </c>
      <c r="B209" s="54">
        <v>26</v>
      </c>
      <c r="C209" s="153" t="str">
        <f t="shared" ref="C209:C215" si="17" xml:space="preserve"> IF(B209="","",setValueToTime(B209))</f>
        <v>2h10min</v>
      </c>
      <c r="D209" s="55" t="s">
        <v>230</v>
      </c>
      <c r="E209" s="221"/>
      <c r="F209" s="222"/>
      <c r="G209" s="51"/>
    </row>
    <row r="210" spans="1:7" s="52" customFormat="1" ht="27" x14ac:dyDescent="0.3">
      <c r="A210" s="53" t="s">
        <v>113</v>
      </c>
      <c r="B210" s="54">
        <v>6</v>
      </c>
      <c r="C210" s="153" t="str">
        <f t="shared" si="17"/>
        <v>0h30min</v>
      </c>
      <c r="D210" s="55" t="s">
        <v>227</v>
      </c>
      <c r="E210" s="232" t="s">
        <v>231</v>
      </c>
      <c r="F210" s="222"/>
      <c r="G210" s="51"/>
    </row>
    <row r="211" spans="1:7" s="52" customFormat="1" ht="27" x14ac:dyDescent="0.3">
      <c r="A211" s="53" t="s">
        <v>94</v>
      </c>
      <c r="B211" s="54">
        <v>2</v>
      </c>
      <c r="C211" s="153" t="str">
        <f t="shared" si="17"/>
        <v>0h10min</v>
      </c>
      <c r="D211" s="55" t="s">
        <v>229</v>
      </c>
      <c r="E211" s="232" t="s">
        <v>228</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232</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222</v>
      </c>
      <c r="E220" s="229"/>
      <c r="F220" s="230"/>
      <c r="G220" s="51"/>
    </row>
    <row r="221" spans="1:7" s="52" customFormat="1" ht="27" x14ac:dyDescent="0.3">
      <c r="A221" s="53" t="s">
        <v>113</v>
      </c>
      <c r="B221" s="54">
        <v>2</v>
      </c>
      <c r="C221" s="153" t="str">
        <f t="shared" ref="C221:C227" si="18" xml:space="preserve"> IF(B221="","",setValueToTime(B221))</f>
        <v>0h10min</v>
      </c>
      <c r="D221" s="55" t="s">
        <v>221</v>
      </c>
      <c r="E221" s="221"/>
      <c r="F221" s="222"/>
      <c r="G221" s="51"/>
    </row>
    <row r="222" spans="1:7" s="52" customFormat="1" ht="27" x14ac:dyDescent="0.3">
      <c r="A222" s="53" t="s">
        <v>135</v>
      </c>
      <c r="B222" s="54">
        <v>6</v>
      </c>
      <c r="C222" s="153" t="str">
        <f t="shared" si="18"/>
        <v>0h30min</v>
      </c>
      <c r="D222" s="55" t="s">
        <v>223</v>
      </c>
      <c r="E222" s="221"/>
      <c r="F222" s="222"/>
      <c r="G222" s="51"/>
    </row>
    <row r="223" spans="1:7" s="52" customFormat="1" ht="40.5" x14ac:dyDescent="0.3">
      <c r="A223" s="53" t="s">
        <v>117</v>
      </c>
      <c r="B223" s="54">
        <v>10</v>
      </c>
      <c r="C223" s="153" t="str">
        <f t="shared" si="18"/>
        <v>0h50min</v>
      </c>
      <c r="D223" s="55" t="s">
        <v>224</v>
      </c>
      <c r="E223" s="221"/>
      <c r="F223" s="222"/>
      <c r="G223" s="51"/>
    </row>
    <row r="224" spans="1:7" s="52" customFormat="1" ht="108" x14ac:dyDescent="0.3">
      <c r="A224" s="54" t="s">
        <v>156</v>
      </c>
      <c r="B224" s="54">
        <v>6</v>
      </c>
      <c r="C224" s="154" t="str">
        <f t="shared" si="18"/>
        <v>0h30min</v>
      </c>
      <c r="D224" s="55" t="s">
        <v>220</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225</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29"/>
      <c r="F232" s="230"/>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29"/>
      <c r="F244" s="230"/>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t="s">
        <v>206</v>
      </c>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t="s">
        <v>206</v>
      </c>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t="s">
        <v>206</v>
      </c>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t="s">
        <v>206</v>
      </c>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t="s">
        <v>206</v>
      </c>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 ref="E211" r:id="rId9" location=":~:text=In%20MySQL%2C%20ENUM%20is%20a%20data%20type.%20It,software%20development%20for%20a%20valid%20list%20of%20values." xr:uid="{608DBC06-8887-4341-AF80-9939E63FAEBA}"/>
    <hyperlink ref="E210" r:id="rId10"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11"/>
  <headerFooter alignWithMargins="0">
    <oddHeader>&amp;L&amp;"ETML,Normal"&amp;14ETML&amp;R&amp;14&amp;USection Informatique</oddHeader>
    <oddFooter>&amp;L&amp;14&amp;D - GGZ&amp;C&amp;14&amp;F - &amp;A&amp;R&amp;14&amp;P/&amp;N</oddFooter>
  </headerFooter>
  <drawing r:id="rId12"/>
  <legacyDrawing r:id="rId13"/>
  <controls>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mc:AlternateContent xmlns:mc="http://schemas.openxmlformats.org/markup-compatibility/2006">
      <mc:Choice Requires="x14">
        <control shapeId="9220" r:id="rId16" name="btnAjoutSeqJournal">
          <controlPr defaultSize="0" autoLine="0" r:id="rId17">
            <anchor moveWithCells="1">
              <from>
                <xdr:col>2</xdr:col>
                <xdr:colOff>85725</xdr:colOff>
                <xdr:row>0</xdr:row>
                <xdr:rowOff>85725</xdr:rowOff>
              </from>
              <to>
                <xdr:col>3</xdr:col>
                <xdr:colOff>914400</xdr:colOff>
                <xdr:row>0</xdr:row>
                <xdr:rowOff>561975</xdr:rowOff>
              </to>
            </anchor>
          </controlPr>
        </control>
      </mc:Choice>
      <mc:Fallback>
        <control shapeId="9220" r:id="rId1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2023-05-23T13:30:16Z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