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6641D17F-01B1-4E81-A992-FA5AA16B0138}"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09" i="12"/>
  <c r="C216" i="12"/>
  <c r="C20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<sst xmlns="http://schemas.openxmlformats.org/spreadsheetml/2006/main" count="1315" uniqueCount="228">
  <si>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</si>
  <si>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</si>
  <si>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</si>
  <si>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</si>
  <si>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</si>
  <si>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</si>
  <si>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</si>
  <si>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</si>
  <si>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</si>
  <si>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</si>
  <si>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</si>
  <si>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</si>
  <si>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</si>
  <si>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</si>
  <si>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</si>
  <si>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</si>
  <si>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</si>
  <si>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</si>
  <si>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</si>
  <si>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</si>
  <si>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</si>
  <si>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</si>
  <si>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</si>
  <si>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</si>
  <si>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</si>
  <si>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</si>
  <si>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</si>
  <si>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</si>
  <si>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</si>
  <si>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</si>
  <si>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</si>
  <si>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</si>
  <si>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</si>
  <si>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</si>
  <si>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</si>
  <si>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</si>
  <si>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</si>
  <si>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</si>
  <si>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</si>
  <si>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</si>
  <si>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</si>
  <si>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</si>
  <si>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</si>
  <si>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</si>
  <si>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</si>
  <si>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</si>
  <si>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</si>
  <si>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</si>
  <si>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</si>
  <si>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</si>
  <si>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</si>
  <si>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</si>
  <si>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</si>
  <si>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</si>
  <si>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</si>
  <si>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</si>
  <si>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</si>
  <si>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</si>
  <si>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</si>
  <si>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</si>
  <si>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</si>
  <si>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</si>
  <si>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</si>
  <si>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</si>
  <si>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</si>
  <si>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</si>
  <si>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</si>
  <si>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</si>
  <si>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</si>
  <si>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</si>
  <si>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</si>
  <si>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</si>
  <si>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</si>
  <si>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</si>
  <si>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</si>
  <si>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</si>
  <si>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</si>
  <si>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</si>
  <si>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</si>
  <si>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</si>
  <si>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</si>
  <si>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</si>
  <si>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</si>
  <si>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</si>
  <si>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</si>
  <si>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</si>
  <si>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</si>
  <si>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</si>
  <si>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</si>
  <si>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</si>
  <si>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</si>
  <si>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</si>
  <si>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</si>
  <si>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</si>
  <si>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</si>
  <si>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</si>
  <si>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</si>
  <si>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</si>
  <si>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</si>
  <si>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</si>
  <si>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</si>
  <si>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</si>
  <si>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</si>
  <si>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</si>
  <si>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</si>
  <si>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</si>
  <si>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</si>
  <si>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</si>
  <si>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</si>
  <si>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</si>
  <si>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</si>
  <si>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</si>
  <si>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</si>
  <si>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</si>
  <si>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</si>
  <si>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</si>
  <si>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</si>
  <si>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</si>
  <si>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</si>
  <si>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</si>
  <si>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</si>
  <si>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</si>
  <si>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</si>
  <si>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</si>
  <si>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</si>
  <si>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</si>
  <si>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</si>
  <si>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</si>
  <si>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</si>
  <si>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</si>
  <si>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</si>
  <si>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</si>
  <si>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</si>
  <si>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</si>
  <si>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</si>
  <si>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</si>
  <si>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</si>
  <si>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</si>
  <si>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</si>
  <si>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</si>
  <si>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</si>
  <si>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</si>
  <si>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</si>
  <si>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</si>
  <si>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</si>
  <si>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</si>
  <si>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</si>
  <si>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</si>
  <si>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</si>
  <si>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</si>
  <si>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</si>
  <si>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</si>
  <si>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</si>
  <si>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</si>
  <si>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</si>
  <si>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</si>
  <si>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</si>
  <si>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</si>
  <si>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</si>
  <si>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</si>
  <si>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</si>
  <si>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</si>
  <si>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</si>
  <si>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</si>
  <si>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</si>
  <si>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</si>
  <si>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</si>
  <si>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</si>
  <si>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</si>
  <si>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</si>
  <si>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</si>
  <si>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</si>
  <si>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</si>
  <si>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</si>
  <si>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</si>
  <si>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</si>
  <si>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</si>
  <si>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</si>
  <si>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</si>
  <si>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</si>
  <si>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</si>
  <si>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</si>
  <si>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</si>
  <si>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</si>
  <si>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</si>
  <si>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</si>
  <si>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</si>
  <si>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</si>
  <si>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</si>
  <si>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</si>
  <si>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</si>
  <si>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</si>
  <si>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</si>
  <si>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</si>
  <si>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</si>
  <si>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</si>
  <si>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</si>
  <si>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</si>
  <si>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</si>
  <si>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</si>
  <si>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</si>
  <si>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</si>
  <si>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</si>
  <si>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</si>
  <si>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</si>
  <si>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</si>
  <si>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</si>
  <si>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</si>
  <si>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</si>
  <si>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</si>
  <si>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</si>
  <si>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</si>
  <si>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</si>
  <si>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</si>
  <si>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</si>
  <si>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</si>
  <si>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</si>
  <si>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</si>
  <si>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</si>
  <si>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</si>
  <si>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</si>
  <si>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</si>
  <si>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</si>
  <si>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</si>
  <si>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</si>
  <si>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</si>
  <si>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</si>
  <si>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Correction du rapport suite aux modifications apportées à la conception de la base de données et ajout d'informations supplémentaires qui y sont relatives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</si>
</sst>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93" zoomScaleNormal="100" zoomScaleSheetLayoutView="98" zoomScalePageLayoutView="70" workbookViewId="0">
      <selection activeCell="D211" sqref="D21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04" activePane="bottomLeft" state="frozen"/>
      <selection pane="bottomLeft" activeCell="D211" sqref="D21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3</v>
      </c>
      <c r="C208" s="152" t="str">
        <f xml:space="preserve"> IF(B208="","",setValueToTime(B208))</f>
        <v>0h15min</v>
      </c>
      <c r="D208" s="50" t="s">
        <v>226</v>
      </c>
      <c r="E208" s="230"/>
      <c r="F208" s="231"/>
      <c r="G208" s="51"/>
    </row>
    <row r="209" spans="1:7" s="52" customFormat="1" ht="27" x14ac:dyDescent="0.3">
      <c r="A209" s="53" t="s">
        <v>13</v>
      </c>
      <c r="B209" s="54">
        <v>8</v>
      </c>
      <c r="C209" s="153" t="str">
        <f t="shared" ref="C209:C215" si="17" xml:space="preserve"> IF(B209="","",setValueToTime(B209))</f>
        <v>0h40min</v>
      </c>
      <c r="D209" s="55" t="s">
        <v>227</v>
      </c>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11</v>
      </c>
      <c r="C216" s="162" t="str">
        <f xml:space="preserve"> setValueToTime(B216)</f>
        <v>0h55min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222</v>
      </c>
      <c r="E220" s="230"/>
      <c r="F220" s="231"/>
      <c r="G220" s="51"/>
    </row>
    <row r="221" spans="1:7" s="52" customFormat="1" ht="27" x14ac:dyDescent="0.3">
      <c r="A221" s="53" t="s">
        <v>113</v>
      </c>
      <c r="B221" s="54">
        <v>2</v>
      </c>
      <c r="C221" s="153" t="str">
        <f t="shared" ref="C221:C227" si="18" xml:space="preserve"> IF(B221="","",setValueToTime(B221))</f>
        <v>0h10min</v>
      </c>
      <c r="D221" s="55" t="s">
        <v>221</v>
      </c>
      <c r="E221" s="221"/>
      <c r="F221" s="222"/>
      <c r="G221" s="51"/>
    </row>
    <row r="222" spans="1:7" s="52" customFormat="1" ht="27" x14ac:dyDescent="0.3">
      <c r="A222" s="53" t="s">
        <v>135</v>
      </c>
      <c r="B222" s="54">
        <v>6</v>
      </c>
      <c r="C222" s="153" t="str">
        <f t="shared" si="18"/>
        <v>0h30min</v>
      </c>
      <c r="D222" s="55" t="s">
        <v>223</v>
      </c>
      <c r="E222" s="221"/>
      <c r="F222" s="222"/>
      <c r="G222" s="51"/>
    </row>
    <row r="223" spans="1:7" s="52" customFormat="1" ht="40.5" x14ac:dyDescent="0.3">
      <c r="A223" s="53" t="s">
        <v>117</v>
      </c>
      <c r="B223" s="54">
        <v>10</v>
      </c>
      <c r="C223" s="153" t="str">
        <f t="shared" si="18"/>
        <v>0h50min</v>
      </c>
      <c r="D223" s="55" t="s">
        <v>224</v>
      </c>
      <c r="E223" s="221"/>
      <c r="F223" s="222"/>
      <c r="G223" s="51"/>
    </row>
    <row r="224" spans="1:7" s="52" customFormat="1" ht="108" x14ac:dyDescent="0.3">
      <c r="A224" s="54" t="s">
        <v>156</v>
      </c>
      <c r="B224" s="54">
        <v>6</v>
      </c>
      <c r="C224" s="154" t="str">
        <f t="shared" si="18"/>
        <v>0h30min</v>
      </c>
      <c r="D224" s="55" t="s">
        <v>220</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225</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30"/>
      <c r="F232" s="231"/>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2023-05-23T07:00:27Z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