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5D54E7BC-DB1C-4708-A693-1792332FA59F}"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84" i="12"/>
  <c r="C318" i="12"/>
  <c r="C283" i="12"/>
  <c r="C250" i="12"/>
  <c r="C228" i="12"/>
  <c r="C199" i="12"/>
  <c r="C176" i="12"/>
  <c r="C152" i="12"/>
  <c r="C225" i="12"/>
  <c r="C201" i="12"/>
  <c r="C96" i="12"/>
  <c r="C326" i="12"/>
  <c r="C282" i="12"/>
  <c r="C246" i="12"/>
  <c r="C227" i="12"/>
  <c r="C205" i="12"/>
  <c r="C178" i="12"/>
  <c r="C338" i="12"/>
  <c r="C248" i="12"/>
  <c r="C162" i="12"/>
  <c r="C108" i="12"/>
  <c r="C319" i="12"/>
  <c r="C285" i="12"/>
  <c r="C249" i="12"/>
  <c r="C223" i="12"/>
  <c r="C204" i="12"/>
  <c r="C177" i="12"/>
  <c r="C284" i="12"/>
  <c r="C180" i="12"/>
  <c r="C202" i="12"/>
  <c r="C120"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C125" i="12"/>
  <c r="C130" i="12"/>
  <c r="C129" i="12"/>
  <c r="C13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<sst xmlns="http://schemas.openxmlformats.org/spreadsheetml/2006/main" count="1423" uniqueCount="281">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</sst>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mockflow.com/"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image" Target="../media/image5.emf"/><Relationship Id="rId5" Type="http://schemas.openxmlformats.org/officeDocument/2006/relationships/hyperlink" Target="https://www.mysql.com/products/workbench/" TargetMode="External"/><Relationship Id="rId10" Type="http://schemas.openxmlformats.org/officeDocument/2006/relationships/control" Target="../activeX/activeX4.xml"/><Relationship Id="rId4" Type="http://schemas.openxmlformats.org/officeDocument/2006/relationships/hyperlink" Target="https://www.databasestar.com/mysql-enum/"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24" t="s">
        <v>28</v>
      </c>
      <c r="D1" s="224"/>
      <c r="E1" s="22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5"/>
      <c r="D7" s="225"/>
      <c r="E7" s="22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20" t="str">
        <f>E96</f>
        <v>89h</v>
      </c>
      <c r="H9" s="220"/>
      <c r="I9" s="220"/>
      <c r="J9" s="220"/>
      <c r="K9" s="220"/>
      <c r="L9" s="220"/>
      <c r="M9" s="220"/>
      <c r="N9" s="220"/>
      <c r="O9" s="220"/>
      <c r="P9" s="220"/>
      <c r="Q9" s="220"/>
      <c r="R9" s="220"/>
      <c r="S9" s="220"/>
      <c r="T9" s="220"/>
      <c r="U9" s="220"/>
      <c r="V9" s="119"/>
      <c r="W9" s="219" t="s">
        <v>20</v>
      </c>
      <c r="X9" s="219"/>
      <c r="Y9" s="219"/>
      <c r="Z9" s="219"/>
      <c r="AA9" s="219"/>
      <c r="AB9" s="219"/>
      <c r="AC9" s="219"/>
      <c r="AD9" s="219"/>
      <c r="AE9" s="219"/>
      <c r="AF9" s="219"/>
      <c r="AG9" s="219"/>
      <c r="AH9" s="220" t="str">
        <f>E98</f>
        <v>7h10min</v>
      </c>
      <c r="AI9" s="220"/>
      <c r="AJ9" s="220"/>
      <c r="AK9" s="220"/>
      <c r="AL9" s="220"/>
      <c r="AM9" s="220"/>
      <c r="AN9" s="220"/>
      <c r="AO9" s="220"/>
      <c r="AP9" s="220"/>
      <c r="AQ9" s="220"/>
      <c r="AR9" s="220"/>
      <c r="AS9" s="220"/>
      <c r="AT9" s="220"/>
      <c r="AU9" s="220"/>
      <c r="AV9" s="220"/>
      <c r="AW9" s="22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194"/>
      <c r="AOU10" s="194"/>
      <c r="AOV10" s="194"/>
      <c r="AOW10" s="194"/>
      <c r="AOX10" s="194"/>
      <c r="AOY10" s="194"/>
      <c r="AOZ10" s="194"/>
      <c r="APA10" s="194"/>
      <c r="APB10" s="194"/>
      <c r="APC10" s="194"/>
      <c r="APD10" s="194"/>
      <c r="APE10" s="194"/>
      <c r="APF10" s="194"/>
      <c r="APG10" s="194"/>
      <c r="APH10" s="194"/>
      <c r="API10" s="194"/>
      <c r="APJ10" s="194"/>
      <c r="APK10" s="194"/>
      <c r="APL10" s="194"/>
      <c r="APM10" s="194"/>
      <c r="APN10" s="194"/>
      <c r="APO10" s="194"/>
      <c r="APP10" s="194"/>
      <c r="APQ10" s="194"/>
      <c r="APR10" s="194"/>
      <c r="APS10" s="194"/>
      <c r="APT10" s="194"/>
      <c r="APU10" s="194"/>
      <c r="APV10" s="194"/>
      <c r="APW10" s="194"/>
      <c r="APX10" s="194"/>
      <c r="APY10" s="194"/>
      <c r="APZ10" s="194"/>
      <c r="AQA10" s="194"/>
      <c r="AQB10" s="194"/>
      <c r="AQC10" s="194"/>
      <c r="AQD10" s="194"/>
      <c r="AQE10" s="194"/>
      <c r="AQF10" s="194"/>
      <c r="AQG10" s="194"/>
      <c r="AQH10" s="194"/>
      <c r="AQI10" s="194"/>
      <c r="AQJ10" s="194"/>
      <c r="AQK10" s="194"/>
      <c r="AQL10" s="194"/>
      <c r="AQM10" s="194"/>
      <c r="AQN10" s="194"/>
      <c r="AQO10" s="194"/>
      <c r="AQP10" s="194"/>
      <c r="AQQ10" s="194"/>
      <c r="AQR10" s="194"/>
      <c r="AQS10" s="194"/>
      <c r="AQT10" s="194"/>
      <c r="AQU10" s="194"/>
      <c r="AQV10" s="194"/>
      <c r="AQW10" s="194"/>
      <c r="AQX10" s="194"/>
      <c r="AQY10" s="194"/>
      <c r="AQZ10" s="194"/>
      <c r="ARA10" s="194"/>
      <c r="ARB10" s="194"/>
      <c r="ARC10" s="194"/>
      <c r="ARD10" s="194"/>
      <c r="ARE10" s="194"/>
      <c r="ARF10" s="194"/>
      <c r="ARG10" s="194"/>
      <c r="ARH10" s="194"/>
      <c r="ARI10" s="194"/>
      <c r="ARJ10" s="194"/>
      <c r="ARK10" s="194"/>
      <c r="ARL10" s="194"/>
      <c r="ARM10" s="194"/>
      <c r="ARN10" s="194"/>
      <c r="ARO10" s="194"/>
      <c r="ARP10" s="194"/>
      <c r="ARQ10" s="194"/>
      <c r="ARR10" s="194"/>
      <c r="ARS10" s="194"/>
      <c r="ART10" s="194"/>
      <c r="ARU10" s="194"/>
      <c r="ARV10" s="194"/>
      <c r="ARW10" s="194"/>
      <c r="ARX10" s="194"/>
      <c r="ARY10" s="194"/>
      <c r="ARZ10" s="194"/>
      <c r="ASA10" s="194"/>
      <c r="ASB10" s="194"/>
      <c r="ASC10" s="194"/>
      <c r="ASD10" s="194"/>
      <c r="ASE10" s="194"/>
      <c r="ASF10" s="194"/>
      <c r="ASG10" s="194"/>
      <c r="ASH10" s="194"/>
      <c r="ASI10" s="194"/>
      <c r="ASJ10" s="194"/>
      <c r="ASK10" s="194"/>
      <c r="ASL10" s="194"/>
      <c r="ASM10" s="194"/>
      <c r="ASN10" s="194"/>
      <c r="ASO10" s="194"/>
      <c r="ASP10" s="194"/>
      <c r="ASQ10" s="194"/>
      <c r="ASR10" s="194"/>
      <c r="ASS10" s="194"/>
      <c r="AST10" s="194"/>
      <c r="ASU10" s="194"/>
      <c r="ASV10" s="194"/>
      <c r="ASW10" s="194"/>
      <c r="ASX10" s="194"/>
      <c r="ASY10" s="194"/>
      <c r="ASZ10" s="194"/>
      <c r="ATA10" s="194"/>
      <c r="ATB10" s="194"/>
      <c r="ATC10" s="194"/>
      <c r="ATD10" s="194"/>
      <c r="ATE10" s="194"/>
      <c r="ATF10" s="194"/>
      <c r="ATG10" s="194"/>
      <c r="ATH10" s="194"/>
      <c r="ATI10" s="194"/>
      <c r="ATJ10" s="194"/>
      <c r="ATK10" s="194"/>
      <c r="ATL10" s="194"/>
      <c r="ATM10" s="194"/>
      <c r="ATN10" s="194"/>
      <c r="ATO10" s="194"/>
      <c r="ATP10" s="194"/>
      <c r="ATQ10" s="194"/>
      <c r="ATR10" s="194"/>
      <c r="ATS10" s="194"/>
      <c r="ATT10" s="194"/>
      <c r="ATU10" s="194"/>
      <c r="ATV10" s="194"/>
      <c r="ATW10" s="194"/>
      <c r="ATX10" s="194"/>
      <c r="ATY10" s="194"/>
      <c r="ATZ10" s="194"/>
      <c r="AUA10" s="194"/>
      <c r="AUB10" s="194"/>
      <c r="AUC10" s="194"/>
      <c r="AUD10" s="194"/>
      <c r="AUE10" s="194"/>
      <c r="AUF10" s="194"/>
      <c r="AUG10" s="194"/>
      <c r="AUH10" s="194"/>
      <c r="AUI10" s="194"/>
      <c r="AUJ10" s="194"/>
      <c r="AUK10" s="194"/>
      <c r="AUL10" s="194"/>
      <c r="AUM10" s="194"/>
      <c r="AUN10" s="194"/>
      <c r="AUO10" s="194"/>
      <c r="AUP10" s="194"/>
      <c r="AUQ10" s="194"/>
      <c r="AUR10" s="194"/>
      <c r="AUS10" s="194"/>
      <c r="AUT10" s="194"/>
      <c r="AUU10" s="194"/>
      <c r="AUV10" s="194"/>
      <c r="AUW10" s="194"/>
      <c r="AUX10" s="194"/>
      <c r="AUY10" s="194"/>
      <c r="AUZ10" s="194"/>
      <c r="AVA10" s="194"/>
      <c r="AVB10" s="194"/>
      <c r="AVC10" s="194"/>
      <c r="AVD10" s="194"/>
      <c r="AVE10" s="194"/>
      <c r="AVF10" s="194"/>
      <c r="AVG10" s="194"/>
      <c r="AVH10" s="194"/>
      <c r="AVI10" s="194"/>
      <c r="AVJ10" s="194"/>
      <c r="AVK10" s="194"/>
      <c r="AVL10" s="194"/>
      <c r="AVM10" s="194"/>
      <c r="AVN10" s="194"/>
      <c r="AVO10" s="194"/>
      <c r="AVP10" s="194"/>
      <c r="AVQ10" s="194"/>
      <c r="AVR10" s="194"/>
      <c r="AVS10" s="194"/>
      <c r="AVT10" s="194"/>
      <c r="AVU10" s="194"/>
      <c r="AVV10" s="194"/>
      <c r="AVW10" s="194"/>
      <c r="AVX10" s="194"/>
      <c r="AVY10" s="194"/>
      <c r="AVZ10" s="194"/>
      <c r="AWA10" s="194"/>
      <c r="AWB10" s="194"/>
      <c r="AWC10" s="194"/>
      <c r="AWD10" s="194"/>
      <c r="AWE10" s="194"/>
      <c r="AWF10" s="194"/>
      <c r="AWG10" s="194"/>
      <c r="AWH10" s="194"/>
      <c r="AWI10" s="194"/>
      <c r="AWJ10" s="194"/>
      <c r="AWK10" s="194"/>
      <c r="AWL10" s="194"/>
      <c r="AWM10" s="194"/>
      <c r="AWN10" s="194"/>
      <c r="AWO10" s="194"/>
      <c r="AWP10" s="194"/>
      <c r="AWQ10" s="194"/>
      <c r="AWR10" s="194"/>
      <c r="AWS10" s="194"/>
      <c r="AWT10" s="194"/>
      <c r="AWU10" s="194"/>
      <c r="AWV10" s="194"/>
      <c r="AWW10" s="194"/>
      <c r="AWX10" s="194"/>
      <c r="AWY10" s="194"/>
      <c r="AWZ10" s="194"/>
      <c r="AXA10" s="194"/>
      <c r="AXB10" s="194"/>
      <c r="AXC10" s="194"/>
      <c r="AXD10" s="194"/>
      <c r="AXE10" s="194"/>
      <c r="AXF10" s="194"/>
      <c r="AXG10" s="194"/>
      <c r="AXH10" s="194"/>
      <c r="AXI10" s="194"/>
      <c r="AXJ10" s="194"/>
      <c r="AXK10" s="194"/>
      <c r="AXL10" s="194"/>
      <c r="AXM10" s="194"/>
      <c r="AXN10" s="194"/>
      <c r="AXO10" s="194"/>
      <c r="AXP10" s="194"/>
      <c r="AXQ10" s="194"/>
      <c r="AXR10" s="194"/>
      <c r="AXS10" s="194"/>
      <c r="AXT10" s="194"/>
      <c r="AXU10" s="194"/>
      <c r="AXV10" s="194"/>
      <c r="AXW10" s="194"/>
      <c r="AXX10" s="194"/>
      <c r="AXY10" s="194"/>
      <c r="AXZ10" s="194"/>
      <c r="AYA10" s="194"/>
      <c r="AYB10" s="194"/>
      <c r="AYC10" s="194"/>
      <c r="AYD10" s="194"/>
      <c r="AYE10" s="194"/>
      <c r="AYF10" s="194"/>
      <c r="AYG10" s="194"/>
      <c r="AYH10" s="194"/>
      <c r="AYI10" s="194"/>
      <c r="AYJ10" s="194"/>
      <c r="AYK10" s="194"/>
      <c r="AYL10" s="194"/>
      <c r="AYM10" s="194"/>
      <c r="AYN10" s="194"/>
      <c r="AYO10" s="194"/>
      <c r="AYP10" s="194"/>
      <c r="AYQ10" s="194"/>
      <c r="AYR10" s="194"/>
      <c r="AYS10" s="194"/>
      <c r="AYT10" s="194"/>
      <c r="AYU10" s="194"/>
      <c r="AYV10" s="194"/>
      <c r="AYW10" s="194"/>
      <c r="AYX10" s="194"/>
      <c r="AYY10" s="194"/>
      <c r="AYZ10" s="194"/>
      <c r="AZA10" s="194"/>
      <c r="AZB10" s="194"/>
      <c r="AZC10" s="194"/>
      <c r="AZD10" s="194"/>
      <c r="AZE10" s="194"/>
      <c r="AZF10" s="194"/>
      <c r="AZG10" s="194"/>
      <c r="AZH10" s="194"/>
      <c r="AZI10" s="194"/>
      <c r="AZJ10" s="194"/>
      <c r="AZK10" s="194"/>
      <c r="AZL10" s="194"/>
      <c r="AZM10" s="194"/>
      <c r="AZN10" s="194"/>
      <c r="AZO10" s="194"/>
      <c r="AZP10" s="194"/>
      <c r="AZQ10" s="194"/>
      <c r="AZR10" s="194"/>
      <c r="AZS10" s="194"/>
      <c r="AZT10" s="194"/>
      <c r="AZU10" s="194"/>
      <c r="AZV10" s="194"/>
      <c r="AZW10" s="194"/>
      <c r="AZX10" s="194"/>
      <c r="AZY10" s="194"/>
      <c r="AZZ10" s="194"/>
      <c r="BAA10" s="194"/>
      <c r="BAB10" s="194"/>
      <c r="BAC10" s="194"/>
      <c r="BAD10" s="194"/>
      <c r="BAE10" s="194"/>
      <c r="BAF10" s="194"/>
      <c r="BAG10" s="194"/>
      <c r="BAH10" s="194"/>
      <c r="BAI10" s="194"/>
      <c r="BAJ10" s="194"/>
      <c r="BAK10" s="194"/>
      <c r="BAL10" s="194"/>
      <c r="BAM10" s="194"/>
      <c r="BAN10" s="194"/>
      <c r="BAO10" s="194"/>
      <c r="BAP10" s="194"/>
      <c r="BAQ10" s="194"/>
      <c r="BAR10" s="194"/>
      <c r="BAS10" s="194"/>
      <c r="BAT10" s="194"/>
      <c r="BAU10" s="194"/>
      <c r="BAV10" s="194"/>
      <c r="BAW10" s="194"/>
      <c r="BAX10" s="194"/>
      <c r="BAY10" s="194"/>
      <c r="BAZ10" s="194"/>
      <c r="BBA10" s="194"/>
      <c r="BBB10" s="194"/>
      <c r="BBC10" s="194"/>
      <c r="BBD10" s="194"/>
      <c r="BBE10" s="194"/>
      <c r="BBF10" s="194"/>
      <c r="BBG10" s="194"/>
      <c r="BBH10" s="194"/>
      <c r="BBI10" s="194"/>
      <c r="BBJ10" s="194"/>
      <c r="BBK10" s="194"/>
      <c r="BBL10" s="194"/>
      <c r="BBM10" s="194"/>
      <c r="BBN10" s="194"/>
      <c r="BBO10" s="194"/>
      <c r="BBP10" s="194"/>
      <c r="BBQ10" s="194"/>
      <c r="BBR10" s="194"/>
      <c r="BBS10" s="194"/>
      <c r="BBT10" s="194"/>
      <c r="BBU10" s="194"/>
      <c r="BBV10" s="194"/>
      <c r="BBW10" s="194"/>
      <c r="BBX10" s="194"/>
      <c r="BBY10" s="194"/>
      <c r="BBZ10" s="194"/>
      <c r="BCA10" s="194"/>
      <c r="BCB10" s="194"/>
      <c r="BCC10" s="194"/>
      <c r="BCD10" s="194"/>
      <c r="BCE10" s="194"/>
      <c r="BCF10" s="194"/>
      <c r="BCG10" s="194"/>
      <c r="BCH10" s="194"/>
      <c r="BCI10" s="194"/>
      <c r="BCJ10" s="194"/>
      <c r="BCK10" s="194"/>
      <c r="BCL10" s="194"/>
      <c r="BCM10" s="194"/>
      <c r="BCN10" s="194"/>
      <c r="BCO10" s="194"/>
      <c r="BCP10" s="194"/>
      <c r="BCQ10" s="194"/>
      <c r="BCR10" s="194"/>
      <c r="BCS10" s="194"/>
      <c r="BCT10" s="194"/>
      <c r="BCU10" s="194"/>
      <c r="BCV10" s="194"/>
      <c r="BCW10" s="194"/>
      <c r="BCX10" s="194"/>
      <c r="BCY10" s="194"/>
      <c r="BCZ10" s="194"/>
      <c r="BDA10" s="194"/>
      <c r="BDB10" s="194"/>
      <c r="BDC10" s="194"/>
      <c r="BDD10" s="194"/>
      <c r="BDE10" s="194"/>
      <c r="BDF10" s="194"/>
      <c r="BDG10" s="194"/>
      <c r="BDH10" s="194"/>
      <c r="BDI10" s="194"/>
      <c r="BDJ10" s="194"/>
      <c r="BDK10" s="194"/>
      <c r="BDL10" s="194"/>
      <c r="BDM10" s="194"/>
      <c r="BDN10" s="194"/>
      <c r="BDO10" s="194"/>
      <c r="BDP10" s="194"/>
      <c r="BDQ10" s="194"/>
      <c r="BDR10" s="194"/>
      <c r="BDS10" s="194"/>
      <c r="BDT10" s="194"/>
      <c r="BDU10" s="194"/>
      <c r="BDV10" s="194"/>
      <c r="BDW10" s="194"/>
      <c r="BDX10" s="194"/>
      <c r="BDY10" s="194"/>
      <c r="BDZ10" s="194"/>
      <c r="BEA10" s="194"/>
      <c r="BEB10" s="194"/>
      <c r="BEC10" s="194"/>
      <c r="BED10" s="194"/>
      <c r="BEE10" s="194"/>
      <c r="BEF10" s="194"/>
      <c r="BEG10" s="194"/>
      <c r="BEH10" s="194"/>
      <c r="BEI10" s="194"/>
      <c r="BEJ10" s="194"/>
      <c r="BEK10" s="194"/>
      <c r="BEL10" s="194"/>
      <c r="BEM10" s="194"/>
      <c r="BEN10" s="194"/>
      <c r="BEO10" s="194"/>
      <c r="BEP10" s="194"/>
      <c r="BEQ10" s="194"/>
      <c r="BER10" s="194"/>
      <c r="BES10" s="194"/>
      <c r="BET10" s="194"/>
      <c r="BEU10" s="194"/>
      <c r="BEV10" s="194"/>
      <c r="BEW10" s="194"/>
      <c r="BEX10" s="194"/>
      <c r="BEY10" s="194"/>
      <c r="BEZ10" s="194"/>
      <c r="BFA10" s="194"/>
      <c r="BFB10" s="194"/>
      <c r="BFC10" s="194"/>
      <c r="BFD10" s="194"/>
      <c r="BFE10" s="194"/>
      <c r="BFF10" s="194"/>
      <c r="BFG10" s="194"/>
      <c r="BFH10" s="194"/>
      <c r="BFI10" s="194"/>
      <c r="BFJ10" s="194"/>
      <c r="BFK10" s="194"/>
      <c r="BFL10" s="194"/>
      <c r="BFM10" s="194"/>
      <c r="BFN10" s="194"/>
      <c r="BFO10" s="194"/>
      <c r="BFP10" s="194"/>
      <c r="BFQ10" s="194"/>
      <c r="BFR10" s="194"/>
      <c r="BFS10" s="194"/>
      <c r="BFT10" s="194"/>
      <c r="BFU10" s="194"/>
      <c r="BFV10" s="194"/>
      <c r="BFW10" s="194"/>
      <c r="BFX10" s="194"/>
      <c r="BFY10" s="194"/>
      <c r="BFZ10" s="194"/>
      <c r="BGA10" s="194"/>
      <c r="BGB10" s="194"/>
      <c r="BGC10" s="194"/>
      <c r="BGD10" s="194"/>
      <c r="BGE10" s="194"/>
      <c r="BGF10" s="194"/>
      <c r="BGG10" s="194"/>
      <c r="BGH10" s="194"/>
      <c r="BGI10" s="194"/>
      <c r="BGJ10" s="194"/>
      <c r="BGK10" s="194"/>
      <c r="BGL10" s="194"/>
      <c r="BGM10" s="194"/>
      <c r="BGN10" s="194"/>
      <c r="BGO10" s="194"/>
      <c r="BGP10" s="194"/>
      <c r="BGQ10" s="194"/>
      <c r="BGR10" s="194"/>
      <c r="BGS10" s="194"/>
      <c r="BGT10" s="194"/>
      <c r="BGU10" s="194"/>
      <c r="BGV10" s="194"/>
      <c r="BGW10" s="194"/>
      <c r="BGX10" s="194"/>
      <c r="BGY10" s="194"/>
      <c r="BGZ10" s="194"/>
      <c r="BHA10" s="194"/>
      <c r="BHB10" s="194"/>
      <c r="BHC10" s="194"/>
      <c r="BHD10" s="194"/>
      <c r="BHE10" s="194"/>
      <c r="BHF10" s="194"/>
      <c r="BHG10" s="194"/>
      <c r="BHH10" s="194"/>
      <c r="BHI10" s="194"/>
      <c r="BHJ10" s="194"/>
      <c r="BHK10" s="194"/>
      <c r="BHL10" s="194"/>
      <c r="BHM10" s="194"/>
      <c r="BHN10" s="194"/>
      <c r="BHO10" s="194"/>
      <c r="BHP10" s="194"/>
      <c r="BHQ10" s="194"/>
      <c r="BHR10" s="194"/>
      <c r="BHS10" s="194"/>
      <c r="BHT10" s="194"/>
      <c r="BHU10" s="194"/>
      <c r="BHV10" s="194"/>
      <c r="BHW10" s="194"/>
      <c r="BHX10" s="194"/>
      <c r="BHY10" s="194"/>
      <c r="BHZ10" s="194"/>
      <c r="BIA10" s="194"/>
      <c r="BIB10" s="194"/>
      <c r="BIC10" s="194"/>
      <c r="BID10" s="194"/>
      <c r="BIE10" s="194"/>
      <c r="BIF10" s="194"/>
      <c r="BIG10" s="194"/>
      <c r="BIH10" s="194"/>
      <c r="BII10" s="194"/>
      <c r="BIJ10" s="194"/>
      <c r="BIK10" s="194"/>
      <c r="BIL10" s="194"/>
      <c r="BIM10" s="194"/>
      <c r="BIN10" s="194"/>
      <c r="BIO10" s="194"/>
      <c r="BIP10" s="194"/>
      <c r="BIQ10" s="194"/>
      <c r="BIR10" s="194"/>
      <c r="BIS10" s="194"/>
      <c r="BIT10" s="194"/>
      <c r="BIU10" s="194"/>
      <c r="BIV10" s="194"/>
      <c r="BIW10" s="194"/>
      <c r="BIX10" s="194"/>
      <c r="BIY10" s="194"/>
      <c r="BIZ10" s="194"/>
      <c r="BJA10" s="194"/>
      <c r="BJB10" s="194"/>
      <c r="BJC10" s="194"/>
      <c r="BJD10" s="194"/>
      <c r="BJE10" s="194"/>
      <c r="BJF10" s="194"/>
      <c r="BJG10" s="194"/>
      <c r="BJH10" s="194"/>
      <c r="BJI10" s="194"/>
      <c r="BJJ10" s="194"/>
      <c r="BJK10" s="194"/>
      <c r="BJL10" s="194"/>
      <c r="BJM10" s="194"/>
      <c r="BJN10" s="194"/>
      <c r="BJO10" s="194"/>
      <c r="BJP10" s="194"/>
      <c r="BJQ10" s="194"/>
      <c r="BJR10" s="194"/>
      <c r="BJS10" s="194"/>
      <c r="BJT10" s="194"/>
      <c r="BJU10" s="194"/>
      <c r="BJV10" s="194"/>
      <c r="BJW10" s="194"/>
      <c r="BJX10" s="194"/>
      <c r="BJY10" s="194"/>
      <c r="BJZ10" s="194"/>
      <c r="BKA10" s="194"/>
      <c r="BKB10" s="194"/>
      <c r="BKC10" s="194"/>
      <c r="BKD10" s="194"/>
      <c r="BKE10" s="194"/>
      <c r="BKF10" s="194"/>
      <c r="BKG10" s="194"/>
      <c r="BKH10" s="194"/>
      <c r="BKI10" s="194"/>
      <c r="BKJ10" s="194"/>
      <c r="BKK10" s="194"/>
      <c r="BKL10" s="194"/>
      <c r="BKM10" s="194"/>
      <c r="BKN10" s="194"/>
      <c r="BKO10" s="194"/>
      <c r="BKP10" s="194"/>
      <c r="BKQ10" s="194"/>
      <c r="BKR10" s="194"/>
      <c r="BKS10" s="194"/>
      <c r="BKT10" s="194"/>
      <c r="BKU10" s="194"/>
      <c r="BKV10" s="194"/>
      <c r="BKW10" s="194"/>
      <c r="BKX10" s="194"/>
      <c r="BKY10" s="194"/>
      <c r="BKZ10" s="194"/>
      <c r="BLA10" s="194"/>
      <c r="BLB10" s="194"/>
      <c r="BLC10" s="194"/>
      <c r="BLD10" s="194"/>
      <c r="BLE10" s="194"/>
      <c r="BLF10" s="194"/>
      <c r="BLG10" s="194"/>
      <c r="BLH10" s="194"/>
      <c r="BLI10" s="194"/>
      <c r="BLJ10" s="194"/>
      <c r="BLK10" s="194"/>
      <c r="BLL10" s="194"/>
      <c r="BLM10" s="194"/>
      <c r="BLN10" s="194"/>
      <c r="BLO10" s="194"/>
      <c r="BLP10" s="194"/>
      <c r="BLQ10" s="194"/>
      <c r="BLR10" s="194"/>
      <c r="BLS10" s="194"/>
      <c r="BLT10" s="194"/>
      <c r="BLU10" s="194"/>
      <c r="BLV10" s="90"/>
    </row>
    <row r="11" spans="1:1686" ht="20.100000000000001" customHeight="1" x14ac:dyDescent="0.25">
      <c r="B11" s="96"/>
      <c r="C11" s="222"/>
      <c r="D11" s="222"/>
      <c r="E11" s="222"/>
      <c r="F11" s="218" t="s">
        <v>41</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62</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195" t="s">
        <v>62</v>
      </c>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t="s">
        <v>63</v>
      </c>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t="s">
        <v>63</v>
      </c>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t="s">
        <v>64</v>
      </c>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t="s">
        <v>64</v>
      </c>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t="s">
        <v>65</v>
      </c>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t="s">
        <v>66</v>
      </c>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t="s">
        <v>66</v>
      </c>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t="s">
        <v>67</v>
      </c>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t="s">
        <v>67</v>
      </c>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t="s">
        <v>68</v>
      </c>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t="s">
        <v>69</v>
      </c>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t="s">
        <v>69</v>
      </c>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t="s">
        <v>70</v>
      </c>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t="s">
        <v>70</v>
      </c>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t="s">
        <v>71</v>
      </c>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195" t="s">
        <v>71</v>
      </c>
      <c r="AOU11" s="195"/>
      <c r="AOV11" s="195"/>
      <c r="AOW11" s="195"/>
      <c r="AOX11" s="195"/>
      <c r="AOY11" s="195"/>
      <c r="AOZ11" s="195"/>
      <c r="APA11" s="195"/>
      <c r="APB11" s="195"/>
      <c r="APC11" s="195"/>
      <c r="APD11" s="195"/>
      <c r="APE11" s="195"/>
      <c r="APF11" s="195"/>
      <c r="APG11" s="195"/>
      <c r="APH11" s="195"/>
      <c r="API11" s="195"/>
      <c r="APJ11" s="195"/>
      <c r="APK11" s="195"/>
      <c r="APL11" s="195"/>
      <c r="APM11" s="195"/>
      <c r="APN11" s="195"/>
      <c r="APO11" s="195"/>
      <c r="APP11" s="195"/>
      <c r="APQ11" s="195"/>
      <c r="APR11" s="195"/>
      <c r="APS11" s="195"/>
      <c r="APT11" s="195"/>
      <c r="APU11" s="195"/>
      <c r="APV11" s="195"/>
      <c r="APW11" s="195"/>
      <c r="APX11" s="195"/>
      <c r="APY11" s="195"/>
      <c r="APZ11" s="195"/>
      <c r="AQA11" s="195"/>
      <c r="AQB11" s="195"/>
      <c r="AQC11" s="195"/>
      <c r="AQD11" s="195"/>
      <c r="AQE11" s="195"/>
      <c r="AQF11" s="195"/>
      <c r="AQG11" s="195"/>
      <c r="AQH11" s="195"/>
      <c r="AQI11" s="195"/>
      <c r="AQJ11" s="195"/>
      <c r="AQK11" s="195"/>
      <c r="AQL11" s="195"/>
      <c r="AQM11" s="195"/>
      <c r="AQN11" s="195"/>
      <c r="AQO11" s="195"/>
      <c r="AQP11" s="195"/>
      <c r="AQQ11" s="195"/>
      <c r="AQR11" s="195"/>
      <c r="AQS11" s="195"/>
      <c r="AQT11" s="195"/>
      <c r="AQU11" s="195"/>
      <c r="AQV11" s="195"/>
      <c r="AQW11" s="195"/>
      <c r="AQX11" s="195"/>
      <c r="AQY11" s="195"/>
      <c r="AQZ11" s="195"/>
      <c r="ARA11" s="195"/>
      <c r="ARB11" s="195" t="s">
        <v>72</v>
      </c>
      <c r="ARC11" s="195"/>
      <c r="ARD11" s="195"/>
      <c r="ARE11" s="195"/>
      <c r="ARF11" s="195"/>
      <c r="ARG11" s="195"/>
      <c r="ARH11" s="195"/>
      <c r="ARI11" s="195"/>
      <c r="ARJ11" s="195"/>
      <c r="ARK11" s="195"/>
      <c r="ARL11" s="195"/>
      <c r="ARM11" s="195"/>
      <c r="ARN11" s="195"/>
      <c r="ARO11" s="195"/>
      <c r="ARP11" s="195"/>
      <c r="ARQ11" s="195"/>
      <c r="ARR11" s="195"/>
      <c r="ARS11" s="195"/>
      <c r="ART11" s="195"/>
      <c r="ARU11" s="195"/>
      <c r="ARV11" s="195"/>
      <c r="ARW11" s="195"/>
      <c r="ARX11" s="195"/>
      <c r="ARY11" s="195"/>
      <c r="ARZ11" s="195"/>
      <c r="ASA11" s="195"/>
      <c r="ASB11" s="195"/>
      <c r="ASC11" s="195"/>
      <c r="ASD11" s="195"/>
      <c r="ASE11" s="195"/>
      <c r="ASF11" s="195"/>
      <c r="ASG11" s="195"/>
      <c r="ASH11" s="195"/>
      <c r="ASI11" s="195"/>
      <c r="ASJ11" s="195"/>
      <c r="ASK11" s="195"/>
      <c r="ASL11" s="195"/>
      <c r="ASM11" s="195"/>
      <c r="ASN11" s="195"/>
      <c r="ASO11" s="195"/>
      <c r="ASP11" s="195"/>
      <c r="ASQ11" s="195"/>
      <c r="ASR11" s="195"/>
      <c r="ASS11" s="195"/>
      <c r="AST11" s="195"/>
      <c r="ASU11" s="195"/>
      <c r="ASV11" s="195"/>
      <c r="ASW11" s="195"/>
      <c r="ASX11" s="195"/>
      <c r="ASY11" s="195"/>
      <c r="ASZ11" s="195"/>
      <c r="ATA11" s="195"/>
      <c r="ATB11" s="195"/>
      <c r="ATC11" s="195"/>
      <c r="ATD11" s="195"/>
      <c r="ATE11" s="195"/>
      <c r="ATF11" s="195"/>
      <c r="ATG11" s="195"/>
      <c r="ATH11" s="195"/>
      <c r="ATI11" s="195"/>
      <c r="ATJ11" s="195" t="s">
        <v>73</v>
      </c>
      <c r="ATK11" s="195"/>
      <c r="ATL11" s="195"/>
      <c r="ATM11" s="195"/>
      <c r="ATN11" s="195"/>
      <c r="ATO11" s="195"/>
      <c r="ATP11" s="195"/>
      <c r="ATQ11" s="195"/>
      <c r="ATR11" s="195"/>
      <c r="ATS11" s="195"/>
      <c r="ATT11" s="195"/>
      <c r="ATU11" s="195"/>
      <c r="ATV11" s="195"/>
      <c r="ATW11" s="195"/>
      <c r="ATX11" s="195"/>
      <c r="ATY11" s="195"/>
      <c r="ATZ11" s="195"/>
      <c r="AUA11" s="195"/>
      <c r="AUB11" s="195"/>
      <c r="AUC11" s="195"/>
      <c r="AUD11" s="195"/>
      <c r="AUE11" s="195"/>
      <c r="AUF11" s="195"/>
      <c r="AUG11" s="195"/>
      <c r="AUH11" s="195"/>
      <c r="AUI11" s="195"/>
      <c r="AUJ11" s="195"/>
      <c r="AUK11" s="195"/>
      <c r="AUL11" s="195"/>
      <c r="AUM11" s="195"/>
      <c r="AUN11" s="195"/>
      <c r="AUO11" s="195"/>
      <c r="AUP11" s="195"/>
      <c r="AUQ11" s="195"/>
      <c r="AUR11" s="195"/>
      <c r="AUS11" s="195"/>
      <c r="AUT11" s="195"/>
      <c r="AUU11" s="195"/>
      <c r="AUV11" s="195"/>
      <c r="AUW11" s="195"/>
      <c r="AUX11" s="195"/>
      <c r="AUY11" s="195"/>
      <c r="AUZ11" s="195"/>
      <c r="AVA11" s="195"/>
      <c r="AVB11" s="195"/>
      <c r="AVC11" s="195"/>
      <c r="AVD11" s="195"/>
      <c r="AVE11" s="195"/>
      <c r="AVF11" s="195"/>
      <c r="AVG11" s="195"/>
      <c r="AVH11" s="195"/>
      <c r="AVI11" s="195"/>
      <c r="AVJ11" s="195"/>
      <c r="AVK11" s="195"/>
      <c r="AVL11" s="195"/>
      <c r="AVM11" s="195"/>
      <c r="AVN11" s="195"/>
      <c r="AVO11" s="195"/>
      <c r="AVP11" s="195"/>
      <c r="AVQ11" s="195"/>
      <c r="AVR11" s="195" t="s">
        <v>73</v>
      </c>
      <c r="AVS11" s="195"/>
      <c r="AVT11" s="195"/>
      <c r="AVU11" s="195"/>
      <c r="AVV11" s="195"/>
      <c r="AVW11" s="195"/>
      <c r="AVX11" s="195"/>
      <c r="AVY11" s="195"/>
      <c r="AVZ11" s="195"/>
      <c r="AWA11" s="195"/>
      <c r="AWB11" s="195"/>
      <c r="AWC11" s="195"/>
      <c r="AWD11" s="195"/>
      <c r="AWE11" s="195"/>
      <c r="AWF11" s="195"/>
      <c r="AWG11" s="195"/>
      <c r="AWH11" s="195"/>
      <c r="AWI11" s="195"/>
      <c r="AWJ11" s="195"/>
      <c r="AWK11" s="195"/>
      <c r="AWL11" s="195"/>
      <c r="AWM11" s="195"/>
      <c r="AWN11" s="195"/>
      <c r="AWO11" s="195"/>
      <c r="AWP11" s="195"/>
      <c r="AWQ11" s="195"/>
      <c r="AWR11" s="195"/>
      <c r="AWS11" s="195"/>
      <c r="AWT11" s="195"/>
      <c r="AWU11" s="195"/>
      <c r="AWV11" s="195"/>
      <c r="AWW11" s="195"/>
      <c r="AWX11" s="195"/>
      <c r="AWY11" s="195"/>
      <c r="AWZ11" s="195"/>
      <c r="AXA11" s="195"/>
      <c r="AXB11" s="195"/>
      <c r="AXC11" s="195"/>
      <c r="AXD11" s="195"/>
      <c r="AXE11" s="195"/>
      <c r="AXF11" s="195"/>
      <c r="AXG11" s="195"/>
      <c r="AXH11" s="195"/>
      <c r="AXI11" s="195"/>
      <c r="AXJ11" s="195"/>
      <c r="AXK11" s="195"/>
      <c r="AXL11" s="195"/>
      <c r="AXM11" s="195"/>
      <c r="AXN11" s="195"/>
      <c r="AXO11" s="195"/>
      <c r="AXP11" s="195"/>
      <c r="AXQ11" s="195"/>
      <c r="AXR11" s="195"/>
      <c r="AXS11" s="195"/>
      <c r="AXT11" s="195"/>
      <c r="AXU11" s="195"/>
      <c r="AXV11" s="195"/>
      <c r="AXW11" s="195"/>
      <c r="AXX11" s="195"/>
      <c r="AXY11" s="195"/>
      <c r="AXZ11" s="195" t="s">
        <v>74</v>
      </c>
      <c r="AYA11" s="195"/>
      <c r="AYB11" s="195"/>
      <c r="AYC11" s="195"/>
      <c r="AYD11" s="195"/>
      <c r="AYE11" s="195"/>
      <c r="AYF11" s="195"/>
      <c r="AYG11" s="195"/>
      <c r="AYH11" s="195"/>
      <c r="AYI11" s="195"/>
      <c r="AYJ11" s="195"/>
      <c r="AYK11" s="195"/>
      <c r="AYL11" s="195"/>
      <c r="AYM11" s="195"/>
      <c r="AYN11" s="195"/>
      <c r="AYO11" s="195"/>
      <c r="AYP11" s="195"/>
      <c r="AYQ11" s="195"/>
      <c r="AYR11" s="195"/>
      <c r="AYS11" s="195"/>
      <c r="AYT11" s="195"/>
      <c r="AYU11" s="195"/>
      <c r="AYV11" s="195"/>
      <c r="AYW11" s="195"/>
      <c r="AYX11" s="195"/>
      <c r="AYY11" s="195"/>
      <c r="AYZ11" s="195"/>
      <c r="AZA11" s="195"/>
      <c r="AZB11" s="195"/>
      <c r="AZC11" s="195"/>
      <c r="AZD11" s="195"/>
      <c r="AZE11" s="195"/>
      <c r="AZF11" s="195"/>
      <c r="AZG11" s="195"/>
      <c r="AZH11" s="195"/>
      <c r="AZI11" s="195"/>
      <c r="AZJ11" s="195"/>
      <c r="AZK11" s="195"/>
      <c r="AZL11" s="195"/>
      <c r="AZM11" s="195"/>
      <c r="AZN11" s="195"/>
      <c r="AZO11" s="195"/>
      <c r="AZP11" s="195"/>
      <c r="AZQ11" s="195"/>
      <c r="AZR11" s="195"/>
      <c r="AZS11" s="195"/>
      <c r="AZT11" s="195"/>
      <c r="AZU11" s="195"/>
      <c r="AZV11" s="195"/>
      <c r="AZW11" s="195"/>
      <c r="AZX11" s="195"/>
      <c r="AZY11" s="195"/>
      <c r="AZZ11" s="195"/>
      <c r="BAA11" s="195"/>
      <c r="BAB11" s="195"/>
      <c r="BAC11" s="195"/>
      <c r="BAD11" s="195"/>
      <c r="BAE11" s="195"/>
      <c r="BAF11" s="195"/>
      <c r="BAG11" s="195"/>
      <c r="BAH11" s="195" t="s">
        <v>74</v>
      </c>
      <c r="BAI11" s="195"/>
      <c r="BAJ11" s="195"/>
      <c r="BAK11" s="195"/>
      <c r="BAL11" s="195"/>
      <c r="BAM11" s="195"/>
      <c r="BAN11" s="195"/>
      <c r="BAO11" s="195"/>
      <c r="BAP11" s="195"/>
      <c r="BAQ11" s="195"/>
      <c r="BAR11" s="195"/>
      <c r="BAS11" s="195"/>
      <c r="BAT11" s="195"/>
      <c r="BAU11" s="195"/>
      <c r="BAV11" s="195"/>
      <c r="BAW11" s="195"/>
      <c r="BAX11" s="195"/>
      <c r="BAY11" s="195"/>
      <c r="BAZ11" s="195"/>
      <c r="BBA11" s="195"/>
      <c r="BBB11" s="195"/>
      <c r="BBC11" s="195"/>
      <c r="BBD11" s="195"/>
      <c r="BBE11" s="195"/>
      <c r="BBF11" s="195"/>
      <c r="BBG11" s="195"/>
      <c r="BBH11" s="195"/>
      <c r="BBI11" s="195"/>
      <c r="BBJ11" s="195"/>
      <c r="BBK11" s="195"/>
      <c r="BBL11" s="195"/>
      <c r="BBM11" s="195"/>
      <c r="BBN11" s="195"/>
      <c r="BBO11" s="195"/>
      <c r="BBP11" s="195"/>
      <c r="BBQ11" s="195"/>
      <c r="BBR11" s="195"/>
      <c r="BBS11" s="195"/>
      <c r="BBT11" s="195"/>
      <c r="BBU11" s="195"/>
      <c r="BBV11" s="195"/>
      <c r="BBW11" s="195"/>
      <c r="BBX11" s="195"/>
      <c r="BBY11" s="195"/>
      <c r="BBZ11" s="195"/>
      <c r="BCA11" s="195"/>
      <c r="BCB11" s="195"/>
      <c r="BCC11" s="195"/>
      <c r="BCD11" s="195"/>
      <c r="BCE11" s="195"/>
      <c r="BCF11" s="195"/>
      <c r="BCG11" s="195"/>
      <c r="BCH11" s="195"/>
      <c r="BCI11" s="195"/>
      <c r="BCJ11" s="195"/>
      <c r="BCK11" s="195"/>
      <c r="BCL11" s="195"/>
      <c r="BCM11" s="195"/>
      <c r="BCN11" s="195"/>
      <c r="BCO11" s="195"/>
      <c r="BCP11" s="195" t="s">
        <v>75</v>
      </c>
      <c r="BCQ11" s="195"/>
      <c r="BCR11" s="195"/>
      <c r="BCS11" s="195"/>
      <c r="BCT11" s="195"/>
      <c r="BCU11" s="195"/>
      <c r="BCV11" s="195"/>
      <c r="BCW11" s="195"/>
      <c r="BCX11" s="195"/>
      <c r="BCY11" s="195"/>
      <c r="BCZ11" s="195"/>
      <c r="BDA11" s="195"/>
      <c r="BDB11" s="195"/>
      <c r="BDC11" s="195"/>
      <c r="BDD11" s="195"/>
      <c r="BDE11" s="195"/>
      <c r="BDF11" s="195"/>
      <c r="BDG11" s="195"/>
      <c r="BDH11" s="195"/>
      <c r="BDI11" s="195"/>
      <c r="BDJ11" s="195"/>
      <c r="BDK11" s="195"/>
      <c r="BDL11" s="195"/>
      <c r="BDM11" s="195"/>
      <c r="BDN11" s="195"/>
      <c r="BDO11" s="195"/>
      <c r="BDP11" s="195"/>
      <c r="BDQ11" s="195"/>
      <c r="BDR11" s="195"/>
      <c r="BDS11" s="195"/>
      <c r="BDT11" s="195"/>
      <c r="BDU11" s="195"/>
      <c r="BDV11" s="195"/>
      <c r="BDW11" s="195"/>
      <c r="BDX11" s="195"/>
      <c r="BDY11" s="195"/>
      <c r="BDZ11" s="195"/>
      <c r="BEA11" s="195"/>
      <c r="BEB11" s="195"/>
      <c r="BEC11" s="195"/>
      <c r="BED11" s="195"/>
      <c r="BEE11" s="195"/>
      <c r="BEF11" s="195"/>
      <c r="BEG11" s="195"/>
      <c r="BEH11" s="195"/>
      <c r="BEI11" s="195"/>
      <c r="BEJ11" s="195"/>
      <c r="BEK11" s="195"/>
      <c r="BEL11" s="195"/>
      <c r="BEM11" s="195"/>
      <c r="BEN11" s="195"/>
      <c r="BEO11" s="195"/>
      <c r="BEP11" s="195"/>
      <c r="BEQ11" s="195"/>
      <c r="BER11" s="195"/>
      <c r="BES11" s="195"/>
      <c r="BET11" s="195"/>
      <c r="BEU11" s="195"/>
      <c r="BEV11" s="195"/>
      <c r="BEW11" s="195"/>
      <c r="BEX11" s="195" t="s">
        <v>75</v>
      </c>
      <c r="BEY11" s="195"/>
      <c r="BEZ11" s="195"/>
      <c r="BFA11" s="195"/>
      <c r="BFB11" s="195"/>
      <c r="BFC11" s="195"/>
      <c r="BFD11" s="195"/>
      <c r="BFE11" s="195"/>
      <c r="BFF11" s="195"/>
      <c r="BFG11" s="195"/>
      <c r="BFH11" s="195"/>
      <c r="BFI11" s="195"/>
      <c r="BFJ11" s="195"/>
      <c r="BFK11" s="195"/>
      <c r="BFL11" s="195"/>
      <c r="BFM11" s="195"/>
      <c r="BFN11" s="195"/>
      <c r="BFO11" s="195"/>
      <c r="BFP11" s="195"/>
      <c r="BFQ11" s="195"/>
      <c r="BFR11" s="195"/>
      <c r="BFS11" s="195"/>
      <c r="BFT11" s="195"/>
      <c r="BFU11" s="195"/>
      <c r="BFV11" s="195"/>
      <c r="BFW11" s="195"/>
      <c r="BFX11" s="195"/>
      <c r="BFY11" s="195"/>
      <c r="BFZ11" s="195"/>
      <c r="BGA11" s="195"/>
      <c r="BGB11" s="195"/>
      <c r="BGC11" s="195"/>
      <c r="BGD11" s="195"/>
      <c r="BGE11" s="195"/>
      <c r="BGF11" s="195"/>
      <c r="BGG11" s="195"/>
      <c r="BGH11" s="195"/>
      <c r="BGI11" s="195"/>
      <c r="BGJ11" s="195"/>
      <c r="BGK11" s="195"/>
      <c r="BGL11" s="195"/>
      <c r="BGM11" s="195"/>
      <c r="BGN11" s="195"/>
      <c r="BGO11" s="195"/>
      <c r="BGP11" s="195"/>
      <c r="BGQ11" s="195"/>
      <c r="BGR11" s="195"/>
      <c r="BGS11" s="195"/>
      <c r="BGT11" s="195"/>
      <c r="BGU11" s="195"/>
      <c r="BGV11" s="195"/>
      <c r="BGW11" s="195"/>
      <c r="BGX11" s="195"/>
      <c r="BGY11" s="195"/>
      <c r="BGZ11" s="195"/>
      <c r="BHA11" s="195"/>
      <c r="BHB11" s="195"/>
      <c r="BHC11" s="195"/>
      <c r="BHD11" s="195"/>
      <c r="BHE11" s="195"/>
      <c r="BHF11" s="195" t="s">
        <v>76</v>
      </c>
      <c r="BHG11" s="195"/>
      <c r="BHH11" s="195"/>
      <c r="BHI11" s="195"/>
      <c r="BHJ11" s="195"/>
      <c r="BHK11" s="195"/>
      <c r="BHL11" s="195"/>
      <c r="BHM11" s="195"/>
      <c r="BHN11" s="195"/>
      <c r="BHO11" s="195"/>
      <c r="BHP11" s="195"/>
      <c r="BHQ11" s="195"/>
      <c r="BHR11" s="195"/>
      <c r="BHS11" s="195"/>
      <c r="BHT11" s="195"/>
      <c r="BHU11" s="195"/>
      <c r="BHV11" s="195"/>
      <c r="BHW11" s="195"/>
      <c r="BHX11" s="195"/>
      <c r="BHY11" s="195"/>
      <c r="BHZ11" s="195"/>
      <c r="BIA11" s="195"/>
      <c r="BIB11" s="195"/>
      <c r="BIC11" s="195"/>
      <c r="BID11" s="195"/>
      <c r="BIE11" s="195"/>
      <c r="BIF11" s="195"/>
      <c r="BIG11" s="195"/>
      <c r="BIH11" s="195"/>
      <c r="BII11" s="195"/>
      <c r="BIJ11" s="195"/>
      <c r="BIK11" s="195"/>
      <c r="BIL11" s="195"/>
      <c r="BIM11" s="195"/>
      <c r="BIN11" s="195"/>
      <c r="BIO11" s="195"/>
      <c r="BIP11" s="195"/>
      <c r="BIQ11" s="195"/>
      <c r="BIR11" s="195"/>
      <c r="BIS11" s="195"/>
      <c r="BIT11" s="195"/>
      <c r="BIU11" s="195"/>
      <c r="BIV11" s="195"/>
      <c r="BIW11" s="195"/>
      <c r="BIX11" s="195"/>
      <c r="BIY11" s="195"/>
      <c r="BIZ11" s="195"/>
      <c r="BJA11" s="195"/>
      <c r="BJB11" s="195"/>
      <c r="BJC11" s="195"/>
      <c r="BJD11" s="195"/>
      <c r="BJE11" s="195"/>
      <c r="BJF11" s="195"/>
      <c r="BJG11" s="195"/>
      <c r="BJH11" s="195"/>
      <c r="BJI11" s="195"/>
      <c r="BJJ11" s="195"/>
      <c r="BJK11" s="195"/>
      <c r="BJL11" s="195"/>
      <c r="BJM11" s="195"/>
      <c r="BJN11" s="195" t="s">
        <v>76</v>
      </c>
      <c r="BJO11" s="195"/>
      <c r="BJP11" s="195"/>
      <c r="BJQ11" s="195"/>
      <c r="BJR11" s="195"/>
      <c r="BJS11" s="195"/>
      <c r="BJT11" s="195"/>
      <c r="BJU11" s="195"/>
      <c r="BJV11" s="195"/>
      <c r="BJW11" s="195"/>
      <c r="BJX11" s="195"/>
      <c r="BJY11" s="195"/>
      <c r="BJZ11" s="195"/>
      <c r="BKA11" s="195"/>
      <c r="BKB11" s="195"/>
      <c r="BKC11" s="195"/>
      <c r="BKD11" s="195"/>
      <c r="BKE11" s="195"/>
      <c r="BKF11" s="195"/>
      <c r="BKG11" s="195"/>
      <c r="BKH11" s="195"/>
      <c r="BKI11" s="195"/>
      <c r="BKJ11" s="195"/>
      <c r="BKK11" s="195"/>
      <c r="BKL11" s="195"/>
      <c r="BKM11" s="195"/>
      <c r="BKN11" s="195"/>
      <c r="BKO11" s="195"/>
      <c r="BKP11" s="195"/>
      <c r="BKQ11" s="195"/>
      <c r="BKR11" s="195"/>
      <c r="BKS11" s="195"/>
      <c r="BKT11" s="195"/>
      <c r="BKU11" s="195"/>
      <c r="BKV11" s="195"/>
      <c r="BKW11" s="195"/>
      <c r="BKX11" s="195"/>
      <c r="BKY11" s="195"/>
      <c r="BKZ11" s="195"/>
      <c r="BLA11" s="195"/>
      <c r="BLB11" s="195"/>
      <c r="BLC11" s="195"/>
      <c r="BLD11" s="195"/>
      <c r="BLE11" s="195"/>
      <c r="BLF11" s="195"/>
      <c r="BLG11" s="195"/>
      <c r="BLH11" s="195"/>
      <c r="BLI11" s="195"/>
      <c r="BLJ11" s="195"/>
      <c r="BLK11" s="195"/>
      <c r="BLL11" s="195"/>
      <c r="BLM11" s="195"/>
      <c r="BLN11" s="195"/>
      <c r="BLO11" s="195"/>
      <c r="BLP11" s="195"/>
      <c r="BLQ11" s="195"/>
      <c r="BLR11" s="195"/>
      <c r="BLS11" s="195"/>
      <c r="BLT11" s="195"/>
      <c r="BLU11" s="195"/>
      <c r="BLV11" s="90"/>
    </row>
    <row r="12" spans="1:1686" ht="15.75" customHeight="1" thickBot="1" x14ac:dyDescent="0.3">
      <c r="B12" s="97"/>
      <c r="C12" s="223"/>
      <c r="D12" s="223"/>
      <c r="E12" s="223"/>
      <c r="F12" s="217" t="s">
        <v>61</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60</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196" t="s">
        <v>61</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t="s">
        <v>60</v>
      </c>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t="s">
        <v>61</v>
      </c>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t="s">
        <v>60</v>
      </c>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t="s">
        <v>61</v>
      </c>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t="s">
        <v>61</v>
      </c>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t="s">
        <v>60</v>
      </c>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t="s">
        <v>61</v>
      </c>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t="s">
        <v>60</v>
      </c>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t="s">
        <v>61</v>
      </c>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t="s">
        <v>61</v>
      </c>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t="s">
        <v>60</v>
      </c>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t="s">
        <v>61</v>
      </c>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t="s">
        <v>60</v>
      </c>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t="s">
        <v>61</v>
      </c>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t="s">
        <v>60</v>
      </c>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196" t="s">
        <v>61</v>
      </c>
      <c r="AOU12" s="196"/>
      <c r="AOV12" s="196"/>
      <c r="AOW12" s="196"/>
      <c r="AOX12" s="196"/>
      <c r="AOY12" s="196"/>
      <c r="AOZ12" s="196"/>
      <c r="APA12" s="196"/>
      <c r="APB12" s="196"/>
      <c r="APC12" s="196"/>
      <c r="APD12" s="196"/>
      <c r="APE12" s="196"/>
      <c r="APF12" s="196"/>
      <c r="APG12" s="196"/>
      <c r="APH12" s="196"/>
      <c r="API12" s="196"/>
      <c r="APJ12" s="196"/>
      <c r="APK12" s="196"/>
      <c r="APL12" s="196"/>
      <c r="APM12" s="196"/>
      <c r="APN12" s="196"/>
      <c r="APO12" s="196"/>
      <c r="APP12" s="196"/>
      <c r="APQ12" s="196"/>
      <c r="APR12" s="196"/>
      <c r="APS12" s="196"/>
      <c r="APT12" s="196"/>
      <c r="APU12" s="196"/>
      <c r="APV12" s="196"/>
      <c r="APW12" s="196"/>
      <c r="APX12" s="196"/>
      <c r="APY12" s="196"/>
      <c r="APZ12" s="196"/>
      <c r="AQA12" s="196"/>
      <c r="AQB12" s="196"/>
      <c r="AQC12" s="196"/>
      <c r="AQD12" s="196"/>
      <c r="AQE12" s="196"/>
      <c r="AQF12" s="196"/>
      <c r="AQG12" s="196"/>
      <c r="AQH12" s="196"/>
      <c r="AQI12" s="196"/>
      <c r="AQJ12" s="196"/>
      <c r="AQK12" s="196"/>
      <c r="AQL12" s="196"/>
      <c r="AQM12" s="196"/>
      <c r="AQN12" s="196"/>
      <c r="AQO12" s="196"/>
      <c r="AQP12" s="196"/>
      <c r="AQQ12" s="196"/>
      <c r="AQR12" s="196"/>
      <c r="AQS12" s="196"/>
      <c r="AQT12" s="196"/>
      <c r="AQU12" s="196"/>
      <c r="AQV12" s="196"/>
      <c r="AQW12" s="196"/>
      <c r="AQX12" s="196"/>
      <c r="AQY12" s="196"/>
      <c r="AQZ12" s="196"/>
      <c r="ARA12" s="196"/>
      <c r="ARB12" s="196" t="s">
        <v>61</v>
      </c>
      <c r="ARC12" s="196"/>
      <c r="ARD12" s="196"/>
      <c r="ARE12" s="196"/>
      <c r="ARF12" s="196"/>
      <c r="ARG12" s="196"/>
      <c r="ARH12" s="196"/>
      <c r="ARI12" s="196"/>
      <c r="ARJ12" s="196"/>
      <c r="ARK12" s="196"/>
      <c r="ARL12" s="196"/>
      <c r="ARM12" s="196"/>
      <c r="ARN12" s="196"/>
      <c r="ARO12" s="196"/>
      <c r="ARP12" s="196"/>
      <c r="ARQ12" s="196"/>
      <c r="ARR12" s="196"/>
      <c r="ARS12" s="196"/>
      <c r="ART12" s="196"/>
      <c r="ARU12" s="196"/>
      <c r="ARV12" s="196"/>
      <c r="ARW12" s="196"/>
      <c r="ARX12" s="196"/>
      <c r="ARY12" s="196"/>
      <c r="ARZ12" s="196"/>
      <c r="ASA12" s="196"/>
      <c r="ASB12" s="196"/>
      <c r="ASC12" s="196"/>
      <c r="ASD12" s="196"/>
      <c r="ASE12" s="196"/>
      <c r="ASF12" s="196"/>
      <c r="ASG12" s="196"/>
      <c r="ASH12" s="196"/>
      <c r="ASI12" s="196"/>
      <c r="ASJ12" s="196"/>
      <c r="ASK12" s="196"/>
      <c r="ASL12" s="196"/>
      <c r="ASM12" s="196"/>
      <c r="ASN12" s="196"/>
      <c r="ASO12" s="196"/>
      <c r="ASP12" s="196"/>
      <c r="ASQ12" s="196"/>
      <c r="ASR12" s="196"/>
      <c r="ASS12" s="196"/>
      <c r="AST12" s="196"/>
      <c r="ASU12" s="196"/>
      <c r="ASV12" s="196"/>
      <c r="ASW12" s="196"/>
      <c r="ASX12" s="196"/>
      <c r="ASY12" s="196"/>
      <c r="ASZ12" s="196"/>
      <c r="ATA12" s="196"/>
      <c r="ATB12" s="196"/>
      <c r="ATC12" s="196"/>
      <c r="ATD12" s="196"/>
      <c r="ATE12" s="196"/>
      <c r="ATF12" s="196"/>
      <c r="ATG12" s="196"/>
      <c r="ATH12" s="196"/>
      <c r="ATI12" s="196"/>
      <c r="ATJ12" s="196" t="s">
        <v>60</v>
      </c>
      <c r="ATK12" s="196"/>
      <c r="ATL12" s="196"/>
      <c r="ATM12" s="196"/>
      <c r="ATN12" s="196"/>
      <c r="ATO12" s="196"/>
      <c r="ATP12" s="196"/>
      <c r="ATQ12" s="196"/>
      <c r="ATR12" s="196"/>
      <c r="ATS12" s="196"/>
      <c r="ATT12" s="196"/>
      <c r="ATU12" s="196"/>
      <c r="ATV12" s="196"/>
      <c r="ATW12" s="196"/>
      <c r="ATX12" s="196"/>
      <c r="ATY12" s="196"/>
      <c r="ATZ12" s="196"/>
      <c r="AUA12" s="196"/>
      <c r="AUB12" s="196"/>
      <c r="AUC12" s="196"/>
      <c r="AUD12" s="196"/>
      <c r="AUE12" s="196"/>
      <c r="AUF12" s="196"/>
      <c r="AUG12" s="196"/>
      <c r="AUH12" s="196"/>
      <c r="AUI12" s="196"/>
      <c r="AUJ12" s="196"/>
      <c r="AUK12" s="196"/>
      <c r="AUL12" s="196"/>
      <c r="AUM12" s="196"/>
      <c r="AUN12" s="196"/>
      <c r="AUO12" s="196"/>
      <c r="AUP12" s="196"/>
      <c r="AUQ12" s="196"/>
      <c r="AUR12" s="196"/>
      <c r="AUS12" s="196"/>
      <c r="AUT12" s="196"/>
      <c r="AUU12" s="196"/>
      <c r="AUV12" s="196"/>
      <c r="AUW12" s="196"/>
      <c r="AUX12" s="196"/>
      <c r="AUY12" s="196"/>
      <c r="AUZ12" s="196"/>
      <c r="AVA12" s="196"/>
      <c r="AVB12" s="196"/>
      <c r="AVC12" s="196"/>
      <c r="AVD12" s="196"/>
      <c r="AVE12" s="196"/>
      <c r="AVF12" s="196"/>
      <c r="AVG12" s="196"/>
      <c r="AVH12" s="196"/>
      <c r="AVI12" s="196"/>
      <c r="AVJ12" s="196"/>
      <c r="AVK12" s="196"/>
      <c r="AVL12" s="196"/>
      <c r="AVM12" s="196"/>
      <c r="AVN12" s="196"/>
      <c r="AVO12" s="196"/>
      <c r="AVP12" s="196"/>
      <c r="AVQ12" s="196"/>
      <c r="AVR12" s="196" t="s">
        <v>61</v>
      </c>
      <c r="AVS12" s="196"/>
      <c r="AVT12" s="196"/>
      <c r="AVU12" s="196"/>
      <c r="AVV12" s="196"/>
      <c r="AVW12" s="196"/>
      <c r="AVX12" s="196"/>
      <c r="AVY12" s="196"/>
      <c r="AVZ12" s="196"/>
      <c r="AWA12" s="196"/>
      <c r="AWB12" s="196"/>
      <c r="AWC12" s="196"/>
      <c r="AWD12" s="196"/>
      <c r="AWE12" s="196"/>
      <c r="AWF12" s="196"/>
      <c r="AWG12" s="196"/>
      <c r="AWH12" s="196"/>
      <c r="AWI12" s="196"/>
      <c r="AWJ12" s="196"/>
      <c r="AWK12" s="196"/>
      <c r="AWL12" s="196"/>
      <c r="AWM12" s="196"/>
      <c r="AWN12" s="196"/>
      <c r="AWO12" s="196"/>
      <c r="AWP12" s="196"/>
      <c r="AWQ12" s="196"/>
      <c r="AWR12" s="196"/>
      <c r="AWS12" s="196"/>
      <c r="AWT12" s="196"/>
      <c r="AWU12" s="196"/>
      <c r="AWV12" s="196"/>
      <c r="AWW12" s="196"/>
      <c r="AWX12" s="196"/>
      <c r="AWY12" s="196"/>
      <c r="AWZ12" s="196"/>
      <c r="AXA12" s="196"/>
      <c r="AXB12" s="196"/>
      <c r="AXC12" s="196"/>
      <c r="AXD12" s="196"/>
      <c r="AXE12" s="196"/>
      <c r="AXF12" s="196"/>
      <c r="AXG12" s="196"/>
      <c r="AXH12" s="196"/>
      <c r="AXI12" s="196"/>
      <c r="AXJ12" s="196"/>
      <c r="AXK12" s="196"/>
      <c r="AXL12" s="196"/>
      <c r="AXM12" s="196"/>
      <c r="AXN12" s="196"/>
      <c r="AXO12" s="196"/>
      <c r="AXP12" s="196"/>
      <c r="AXQ12" s="196"/>
      <c r="AXR12" s="196"/>
      <c r="AXS12" s="196"/>
      <c r="AXT12" s="196"/>
      <c r="AXU12" s="196"/>
      <c r="AXV12" s="196"/>
      <c r="AXW12" s="196"/>
      <c r="AXX12" s="196"/>
      <c r="AXY12" s="196"/>
      <c r="AXZ12" s="196" t="s">
        <v>60</v>
      </c>
      <c r="AYA12" s="196"/>
      <c r="AYB12" s="196"/>
      <c r="AYC12" s="196"/>
      <c r="AYD12" s="196"/>
      <c r="AYE12" s="196"/>
      <c r="AYF12" s="196"/>
      <c r="AYG12" s="196"/>
      <c r="AYH12" s="196"/>
      <c r="AYI12" s="196"/>
      <c r="AYJ12" s="196"/>
      <c r="AYK12" s="196"/>
      <c r="AYL12" s="196"/>
      <c r="AYM12" s="196"/>
      <c r="AYN12" s="196"/>
      <c r="AYO12" s="196"/>
      <c r="AYP12" s="196"/>
      <c r="AYQ12" s="196"/>
      <c r="AYR12" s="196"/>
      <c r="AYS12" s="196"/>
      <c r="AYT12" s="196"/>
      <c r="AYU12" s="196"/>
      <c r="AYV12" s="196"/>
      <c r="AYW12" s="196"/>
      <c r="AYX12" s="196"/>
      <c r="AYY12" s="196"/>
      <c r="AYZ12" s="196"/>
      <c r="AZA12" s="196"/>
      <c r="AZB12" s="196"/>
      <c r="AZC12" s="196"/>
      <c r="AZD12" s="196"/>
      <c r="AZE12" s="196"/>
      <c r="AZF12" s="196"/>
      <c r="AZG12" s="196"/>
      <c r="AZH12" s="196"/>
      <c r="AZI12" s="196"/>
      <c r="AZJ12" s="196"/>
      <c r="AZK12" s="196"/>
      <c r="AZL12" s="196"/>
      <c r="AZM12" s="196"/>
      <c r="AZN12" s="196"/>
      <c r="AZO12" s="196"/>
      <c r="AZP12" s="196"/>
      <c r="AZQ12" s="196"/>
      <c r="AZR12" s="196"/>
      <c r="AZS12" s="196"/>
      <c r="AZT12" s="196"/>
      <c r="AZU12" s="196"/>
      <c r="AZV12" s="196"/>
      <c r="AZW12" s="196"/>
      <c r="AZX12" s="196"/>
      <c r="AZY12" s="196"/>
      <c r="AZZ12" s="196"/>
      <c r="BAA12" s="196"/>
      <c r="BAB12" s="196"/>
      <c r="BAC12" s="196"/>
      <c r="BAD12" s="196"/>
      <c r="BAE12" s="196"/>
      <c r="BAF12" s="196"/>
      <c r="BAG12" s="196"/>
      <c r="BAH12" s="196" t="s">
        <v>61</v>
      </c>
      <c r="BAI12" s="196"/>
      <c r="BAJ12" s="196"/>
      <c r="BAK12" s="196"/>
      <c r="BAL12" s="196"/>
      <c r="BAM12" s="196"/>
      <c r="BAN12" s="196"/>
      <c r="BAO12" s="196"/>
      <c r="BAP12" s="196"/>
      <c r="BAQ12" s="196"/>
      <c r="BAR12" s="196"/>
      <c r="BAS12" s="196"/>
      <c r="BAT12" s="196"/>
      <c r="BAU12" s="196"/>
      <c r="BAV12" s="196"/>
      <c r="BAW12" s="196"/>
      <c r="BAX12" s="196"/>
      <c r="BAY12" s="196"/>
      <c r="BAZ12" s="196"/>
      <c r="BBA12" s="196"/>
      <c r="BBB12" s="196"/>
      <c r="BBC12" s="196"/>
      <c r="BBD12" s="196"/>
      <c r="BBE12" s="196"/>
      <c r="BBF12" s="196"/>
      <c r="BBG12" s="196"/>
      <c r="BBH12" s="196"/>
      <c r="BBI12" s="196"/>
      <c r="BBJ12" s="196"/>
      <c r="BBK12" s="196"/>
      <c r="BBL12" s="196"/>
      <c r="BBM12" s="196"/>
      <c r="BBN12" s="196"/>
      <c r="BBO12" s="196"/>
      <c r="BBP12" s="196"/>
      <c r="BBQ12" s="196"/>
      <c r="BBR12" s="196"/>
      <c r="BBS12" s="196"/>
      <c r="BBT12" s="196"/>
      <c r="BBU12" s="196"/>
      <c r="BBV12" s="196"/>
      <c r="BBW12" s="196"/>
      <c r="BBX12" s="196"/>
      <c r="BBY12" s="196"/>
      <c r="BBZ12" s="196"/>
      <c r="BCA12" s="196"/>
      <c r="BCB12" s="196"/>
      <c r="BCC12" s="196"/>
      <c r="BCD12" s="196"/>
      <c r="BCE12" s="196"/>
      <c r="BCF12" s="196"/>
      <c r="BCG12" s="196"/>
      <c r="BCH12" s="196"/>
      <c r="BCI12" s="196"/>
      <c r="BCJ12" s="196"/>
      <c r="BCK12" s="196"/>
      <c r="BCL12" s="196"/>
      <c r="BCM12" s="196"/>
      <c r="BCN12" s="196"/>
      <c r="BCO12" s="196"/>
      <c r="BCP12" s="196" t="s">
        <v>60</v>
      </c>
      <c r="BCQ12" s="196"/>
      <c r="BCR12" s="196"/>
      <c r="BCS12" s="196"/>
      <c r="BCT12" s="196"/>
      <c r="BCU12" s="196"/>
      <c r="BCV12" s="196"/>
      <c r="BCW12" s="196"/>
      <c r="BCX12" s="196"/>
      <c r="BCY12" s="196"/>
      <c r="BCZ12" s="196"/>
      <c r="BDA12" s="196"/>
      <c r="BDB12" s="196"/>
      <c r="BDC12" s="196"/>
      <c r="BDD12" s="196"/>
      <c r="BDE12" s="196"/>
      <c r="BDF12" s="196"/>
      <c r="BDG12" s="196"/>
      <c r="BDH12" s="196"/>
      <c r="BDI12" s="196"/>
      <c r="BDJ12" s="196"/>
      <c r="BDK12" s="196"/>
      <c r="BDL12" s="196"/>
      <c r="BDM12" s="196"/>
      <c r="BDN12" s="196"/>
      <c r="BDO12" s="196"/>
      <c r="BDP12" s="196"/>
      <c r="BDQ12" s="196"/>
      <c r="BDR12" s="196"/>
      <c r="BDS12" s="196"/>
      <c r="BDT12" s="196"/>
      <c r="BDU12" s="196"/>
      <c r="BDV12" s="196"/>
      <c r="BDW12" s="196"/>
      <c r="BDX12" s="196"/>
      <c r="BDY12" s="196"/>
      <c r="BDZ12" s="196"/>
      <c r="BEA12" s="196"/>
      <c r="BEB12" s="196"/>
      <c r="BEC12" s="196"/>
      <c r="BED12" s="196"/>
      <c r="BEE12" s="196"/>
      <c r="BEF12" s="196"/>
      <c r="BEG12" s="196"/>
      <c r="BEH12" s="196"/>
      <c r="BEI12" s="196"/>
      <c r="BEJ12" s="196"/>
      <c r="BEK12" s="196"/>
      <c r="BEL12" s="196"/>
      <c r="BEM12" s="196"/>
      <c r="BEN12" s="196"/>
      <c r="BEO12" s="196"/>
      <c r="BEP12" s="196"/>
      <c r="BEQ12" s="196"/>
      <c r="BER12" s="196"/>
      <c r="BES12" s="196"/>
      <c r="BET12" s="196"/>
      <c r="BEU12" s="196"/>
      <c r="BEV12" s="196"/>
      <c r="BEW12" s="196"/>
      <c r="BEX12" s="196" t="s">
        <v>61</v>
      </c>
      <c r="BEY12" s="196"/>
      <c r="BEZ12" s="196"/>
      <c r="BFA12" s="196"/>
      <c r="BFB12" s="196"/>
      <c r="BFC12" s="196"/>
      <c r="BFD12" s="196"/>
      <c r="BFE12" s="196"/>
      <c r="BFF12" s="196"/>
      <c r="BFG12" s="196"/>
      <c r="BFH12" s="196"/>
      <c r="BFI12" s="196"/>
      <c r="BFJ12" s="196"/>
      <c r="BFK12" s="196"/>
      <c r="BFL12" s="196"/>
      <c r="BFM12" s="196"/>
      <c r="BFN12" s="196"/>
      <c r="BFO12" s="196"/>
      <c r="BFP12" s="196"/>
      <c r="BFQ12" s="196"/>
      <c r="BFR12" s="196"/>
      <c r="BFS12" s="196"/>
      <c r="BFT12" s="196"/>
      <c r="BFU12" s="196"/>
      <c r="BFV12" s="196"/>
      <c r="BFW12" s="196"/>
      <c r="BFX12" s="196"/>
      <c r="BFY12" s="196"/>
      <c r="BFZ12" s="196"/>
      <c r="BGA12" s="196"/>
      <c r="BGB12" s="196"/>
      <c r="BGC12" s="196"/>
      <c r="BGD12" s="196"/>
      <c r="BGE12" s="196"/>
      <c r="BGF12" s="196"/>
      <c r="BGG12" s="196"/>
      <c r="BGH12" s="196"/>
      <c r="BGI12" s="196"/>
      <c r="BGJ12" s="196"/>
      <c r="BGK12" s="196"/>
      <c r="BGL12" s="196"/>
      <c r="BGM12" s="196"/>
      <c r="BGN12" s="196"/>
      <c r="BGO12" s="196"/>
      <c r="BGP12" s="196"/>
      <c r="BGQ12" s="196"/>
      <c r="BGR12" s="196"/>
      <c r="BGS12" s="196"/>
      <c r="BGT12" s="196"/>
      <c r="BGU12" s="196"/>
      <c r="BGV12" s="196"/>
      <c r="BGW12" s="196"/>
      <c r="BGX12" s="196"/>
      <c r="BGY12" s="196"/>
      <c r="BGZ12" s="196"/>
      <c r="BHA12" s="196"/>
      <c r="BHB12" s="196"/>
      <c r="BHC12" s="196"/>
      <c r="BHD12" s="196"/>
      <c r="BHE12" s="196"/>
      <c r="BHF12" s="196" t="s">
        <v>60</v>
      </c>
      <c r="BHG12" s="196"/>
      <c r="BHH12" s="196"/>
      <c r="BHI12" s="196"/>
      <c r="BHJ12" s="196"/>
      <c r="BHK12" s="196"/>
      <c r="BHL12" s="196"/>
      <c r="BHM12" s="196"/>
      <c r="BHN12" s="196"/>
      <c r="BHO12" s="196"/>
      <c r="BHP12" s="196"/>
      <c r="BHQ12" s="196"/>
      <c r="BHR12" s="196"/>
      <c r="BHS12" s="196"/>
      <c r="BHT12" s="196"/>
      <c r="BHU12" s="196"/>
      <c r="BHV12" s="196"/>
      <c r="BHW12" s="196"/>
      <c r="BHX12" s="196"/>
      <c r="BHY12" s="196"/>
      <c r="BHZ12" s="196"/>
      <c r="BIA12" s="196"/>
      <c r="BIB12" s="196"/>
      <c r="BIC12" s="196"/>
      <c r="BID12" s="196"/>
      <c r="BIE12" s="196"/>
      <c r="BIF12" s="196"/>
      <c r="BIG12" s="196"/>
      <c r="BIH12" s="196"/>
      <c r="BII12" s="196"/>
      <c r="BIJ12" s="196"/>
      <c r="BIK12" s="196"/>
      <c r="BIL12" s="196"/>
      <c r="BIM12" s="196"/>
      <c r="BIN12" s="196"/>
      <c r="BIO12" s="196"/>
      <c r="BIP12" s="196"/>
      <c r="BIQ12" s="196"/>
      <c r="BIR12" s="196"/>
      <c r="BIS12" s="196"/>
      <c r="BIT12" s="196"/>
      <c r="BIU12" s="196"/>
      <c r="BIV12" s="196"/>
      <c r="BIW12" s="196"/>
      <c r="BIX12" s="196"/>
      <c r="BIY12" s="196"/>
      <c r="BIZ12" s="196"/>
      <c r="BJA12" s="196"/>
      <c r="BJB12" s="196"/>
      <c r="BJC12" s="196"/>
      <c r="BJD12" s="196"/>
      <c r="BJE12" s="196"/>
      <c r="BJF12" s="196"/>
      <c r="BJG12" s="196"/>
      <c r="BJH12" s="196"/>
      <c r="BJI12" s="196"/>
      <c r="BJJ12" s="196"/>
      <c r="BJK12" s="196"/>
      <c r="BJL12" s="196"/>
      <c r="BJM12" s="196"/>
      <c r="BJN12" s="196" t="s">
        <v>61</v>
      </c>
      <c r="BJO12" s="196"/>
      <c r="BJP12" s="196"/>
      <c r="BJQ12" s="196"/>
      <c r="BJR12" s="196"/>
      <c r="BJS12" s="196"/>
      <c r="BJT12" s="196"/>
      <c r="BJU12" s="196"/>
      <c r="BJV12" s="196"/>
      <c r="BJW12" s="196"/>
      <c r="BJX12" s="196"/>
      <c r="BJY12" s="196"/>
      <c r="BJZ12" s="196"/>
      <c r="BKA12" s="196"/>
      <c r="BKB12" s="196"/>
      <c r="BKC12" s="196"/>
      <c r="BKD12" s="196"/>
      <c r="BKE12" s="196"/>
      <c r="BKF12" s="196"/>
      <c r="BKG12" s="196"/>
      <c r="BKH12" s="196"/>
      <c r="BKI12" s="196"/>
      <c r="BKJ12" s="196"/>
      <c r="BKK12" s="196"/>
      <c r="BKL12" s="196"/>
      <c r="BKM12" s="196"/>
      <c r="BKN12" s="196"/>
      <c r="BKO12" s="196"/>
      <c r="BKP12" s="196"/>
      <c r="BKQ12" s="196"/>
      <c r="BKR12" s="196"/>
      <c r="BKS12" s="196"/>
      <c r="BKT12" s="196"/>
      <c r="BKU12" s="196"/>
      <c r="BKV12" s="196"/>
      <c r="BKW12" s="196"/>
      <c r="BKX12" s="196"/>
      <c r="BKY12" s="196"/>
      <c r="BKZ12" s="196"/>
      <c r="BLA12" s="196"/>
      <c r="BLB12" s="196"/>
      <c r="BLC12" s="196"/>
      <c r="BLD12" s="196"/>
      <c r="BLE12" s="196"/>
      <c r="BLF12" s="196"/>
      <c r="BLG12" s="196"/>
      <c r="BLH12" s="196"/>
      <c r="BLI12" s="196"/>
      <c r="BLJ12" s="196"/>
      <c r="BLK12" s="196"/>
      <c r="BLL12" s="196"/>
      <c r="BLM12" s="196"/>
      <c r="BLN12" s="196"/>
      <c r="BLO12" s="196"/>
      <c r="BLP12" s="196"/>
      <c r="BLQ12" s="196"/>
      <c r="BLR12" s="196"/>
      <c r="BLS12" s="196"/>
      <c r="BLT12" s="196"/>
      <c r="BLU12" s="196"/>
      <c r="BLV12" s="90"/>
    </row>
    <row r="13" spans="1:1686" ht="42.75" customHeight="1" thickBot="1" x14ac:dyDescent="0.3">
      <c r="B13" s="96"/>
      <c r="C13" s="213" t="s">
        <v>3</v>
      </c>
      <c r="D13" s="144"/>
      <c r="E13" s="215" t="s">
        <v>38</v>
      </c>
      <c r="F13" s="197" t="s">
        <v>4</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25</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16</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53</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52</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51</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50</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49</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48</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47</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46</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45</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44</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43</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42</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40</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89</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88</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197" t="s">
        <v>87</v>
      </c>
      <c r="AOU13" s="198"/>
      <c r="AOV13" s="198"/>
      <c r="AOW13" s="198"/>
      <c r="AOX13" s="198"/>
      <c r="AOY13" s="198"/>
      <c r="AOZ13" s="198"/>
      <c r="APA13" s="198"/>
      <c r="APB13" s="198"/>
      <c r="APC13" s="198"/>
      <c r="APD13" s="198"/>
      <c r="APE13" s="198"/>
      <c r="APF13" s="198"/>
      <c r="APG13" s="198"/>
      <c r="APH13" s="198"/>
      <c r="API13" s="198"/>
      <c r="APJ13" s="198"/>
      <c r="APK13" s="198"/>
      <c r="APL13" s="198"/>
      <c r="APM13" s="198"/>
      <c r="APN13" s="198"/>
      <c r="APO13" s="198"/>
      <c r="APP13" s="198"/>
      <c r="APQ13" s="198"/>
      <c r="APR13" s="198"/>
      <c r="APS13" s="198"/>
      <c r="APT13" s="198"/>
      <c r="APU13" s="198"/>
      <c r="APV13" s="198"/>
      <c r="APW13" s="198"/>
      <c r="APX13" s="198"/>
      <c r="APY13" s="198"/>
      <c r="APZ13" s="198"/>
      <c r="AQA13" s="198"/>
      <c r="AQB13" s="198"/>
      <c r="AQC13" s="198"/>
      <c r="AQD13" s="198"/>
      <c r="AQE13" s="198"/>
      <c r="AQF13" s="198"/>
      <c r="AQG13" s="198"/>
      <c r="AQH13" s="198"/>
      <c r="AQI13" s="198"/>
      <c r="AQJ13" s="198"/>
      <c r="AQK13" s="198"/>
      <c r="AQL13" s="198"/>
      <c r="AQM13" s="198"/>
      <c r="AQN13" s="198"/>
      <c r="AQO13" s="198"/>
      <c r="AQP13" s="198"/>
      <c r="AQQ13" s="198"/>
      <c r="AQR13" s="198"/>
      <c r="AQS13" s="198"/>
      <c r="AQT13" s="198"/>
      <c r="AQU13" s="198"/>
      <c r="AQV13" s="198"/>
      <c r="AQW13" s="198"/>
      <c r="AQX13" s="198"/>
      <c r="AQY13" s="198"/>
      <c r="AQZ13" s="198"/>
      <c r="ARA13" s="199"/>
      <c r="ARB13" s="197" t="s">
        <v>86</v>
      </c>
      <c r="ARC13" s="198"/>
      <c r="ARD13" s="198"/>
      <c r="ARE13" s="198"/>
      <c r="ARF13" s="198"/>
      <c r="ARG13" s="198"/>
      <c r="ARH13" s="198"/>
      <c r="ARI13" s="198"/>
      <c r="ARJ13" s="198"/>
      <c r="ARK13" s="198"/>
      <c r="ARL13" s="198"/>
      <c r="ARM13" s="198"/>
      <c r="ARN13" s="198"/>
      <c r="ARO13" s="198"/>
      <c r="ARP13" s="198"/>
      <c r="ARQ13" s="198"/>
      <c r="ARR13" s="198"/>
      <c r="ARS13" s="198"/>
      <c r="ART13" s="198"/>
      <c r="ARU13" s="198"/>
      <c r="ARV13" s="198"/>
      <c r="ARW13" s="198"/>
      <c r="ARX13" s="198"/>
      <c r="ARY13" s="198"/>
      <c r="ARZ13" s="198"/>
      <c r="ASA13" s="198"/>
      <c r="ASB13" s="198"/>
      <c r="ASC13" s="198"/>
      <c r="ASD13" s="198"/>
      <c r="ASE13" s="198"/>
      <c r="ASF13" s="198"/>
      <c r="ASG13" s="198"/>
      <c r="ASH13" s="198"/>
      <c r="ASI13" s="198"/>
      <c r="ASJ13" s="198"/>
      <c r="ASK13" s="198"/>
      <c r="ASL13" s="198"/>
      <c r="ASM13" s="198"/>
      <c r="ASN13" s="198"/>
      <c r="ASO13" s="198"/>
      <c r="ASP13" s="198"/>
      <c r="ASQ13" s="198"/>
      <c r="ASR13" s="198"/>
      <c r="ASS13" s="198"/>
      <c r="AST13" s="198"/>
      <c r="ASU13" s="198"/>
      <c r="ASV13" s="198"/>
      <c r="ASW13" s="198"/>
      <c r="ASX13" s="198"/>
      <c r="ASY13" s="198"/>
      <c r="ASZ13" s="198"/>
      <c r="ATA13" s="198"/>
      <c r="ATB13" s="198"/>
      <c r="ATC13" s="198"/>
      <c r="ATD13" s="198"/>
      <c r="ATE13" s="198"/>
      <c r="ATF13" s="198"/>
      <c r="ATG13" s="198"/>
      <c r="ATH13" s="198"/>
      <c r="ATI13" s="199"/>
      <c r="ATJ13" s="197" t="s">
        <v>85</v>
      </c>
      <c r="ATK13" s="198"/>
      <c r="ATL13" s="198"/>
      <c r="ATM13" s="198"/>
      <c r="ATN13" s="198"/>
      <c r="ATO13" s="198"/>
      <c r="ATP13" s="198"/>
      <c r="ATQ13" s="198"/>
      <c r="ATR13" s="198"/>
      <c r="ATS13" s="198"/>
      <c r="ATT13" s="198"/>
      <c r="ATU13" s="198"/>
      <c r="ATV13" s="198"/>
      <c r="ATW13" s="198"/>
      <c r="ATX13" s="198"/>
      <c r="ATY13" s="198"/>
      <c r="ATZ13" s="198"/>
      <c r="AUA13" s="198"/>
      <c r="AUB13" s="198"/>
      <c r="AUC13" s="198"/>
      <c r="AUD13" s="198"/>
      <c r="AUE13" s="198"/>
      <c r="AUF13" s="198"/>
      <c r="AUG13" s="198"/>
      <c r="AUH13" s="198"/>
      <c r="AUI13" s="198"/>
      <c r="AUJ13" s="198"/>
      <c r="AUK13" s="198"/>
      <c r="AUL13" s="198"/>
      <c r="AUM13" s="198"/>
      <c r="AUN13" s="198"/>
      <c r="AUO13" s="198"/>
      <c r="AUP13" s="198"/>
      <c r="AUQ13" s="198"/>
      <c r="AUR13" s="198"/>
      <c r="AUS13" s="198"/>
      <c r="AUT13" s="198"/>
      <c r="AUU13" s="198"/>
      <c r="AUV13" s="198"/>
      <c r="AUW13" s="198"/>
      <c r="AUX13" s="198"/>
      <c r="AUY13" s="198"/>
      <c r="AUZ13" s="198"/>
      <c r="AVA13" s="198"/>
      <c r="AVB13" s="198"/>
      <c r="AVC13" s="198"/>
      <c r="AVD13" s="198"/>
      <c r="AVE13" s="198"/>
      <c r="AVF13" s="198"/>
      <c r="AVG13" s="198"/>
      <c r="AVH13" s="198"/>
      <c r="AVI13" s="198"/>
      <c r="AVJ13" s="198"/>
      <c r="AVK13" s="198"/>
      <c r="AVL13" s="198"/>
      <c r="AVM13" s="198"/>
      <c r="AVN13" s="198"/>
      <c r="AVO13" s="198"/>
      <c r="AVP13" s="198"/>
      <c r="AVQ13" s="199"/>
      <c r="AVR13" s="197" t="s">
        <v>84</v>
      </c>
      <c r="AVS13" s="198"/>
      <c r="AVT13" s="198"/>
      <c r="AVU13" s="198"/>
      <c r="AVV13" s="198"/>
      <c r="AVW13" s="198"/>
      <c r="AVX13" s="198"/>
      <c r="AVY13" s="198"/>
      <c r="AVZ13" s="198"/>
      <c r="AWA13" s="198"/>
      <c r="AWB13" s="198"/>
      <c r="AWC13" s="198"/>
      <c r="AWD13" s="198"/>
      <c r="AWE13" s="198"/>
      <c r="AWF13" s="198"/>
      <c r="AWG13" s="198"/>
      <c r="AWH13" s="198"/>
      <c r="AWI13" s="198"/>
      <c r="AWJ13" s="198"/>
      <c r="AWK13" s="198"/>
      <c r="AWL13" s="198"/>
      <c r="AWM13" s="198"/>
      <c r="AWN13" s="198"/>
      <c r="AWO13" s="198"/>
      <c r="AWP13" s="198"/>
      <c r="AWQ13" s="198"/>
      <c r="AWR13" s="198"/>
      <c r="AWS13" s="198"/>
      <c r="AWT13" s="198"/>
      <c r="AWU13" s="198"/>
      <c r="AWV13" s="198"/>
      <c r="AWW13" s="198"/>
      <c r="AWX13" s="198"/>
      <c r="AWY13" s="198"/>
      <c r="AWZ13" s="198"/>
      <c r="AXA13" s="198"/>
      <c r="AXB13" s="198"/>
      <c r="AXC13" s="198"/>
      <c r="AXD13" s="198"/>
      <c r="AXE13" s="198"/>
      <c r="AXF13" s="198"/>
      <c r="AXG13" s="198"/>
      <c r="AXH13" s="198"/>
      <c r="AXI13" s="198"/>
      <c r="AXJ13" s="198"/>
      <c r="AXK13" s="198"/>
      <c r="AXL13" s="198"/>
      <c r="AXM13" s="198"/>
      <c r="AXN13" s="198"/>
      <c r="AXO13" s="198"/>
      <c r="AXP13" s="198"/>
      <c r="AXQ13" s="198"/>
      <c r="AXR13" s="198"/>
      <c r="AXS13" s="198"/>
      <c r="AXT13" s="198"/>
      <c r="AXU13" s="198"/>
      <c r="AXV13" s="198"/>
      <c r="AXW13" s="198"/>
      <c r="AXX13" s="198"/>
      <c r="AXY13" s="199"/>
      <c r="AXZ13" s="197" t="s">
        <v>83</v>
      </c>
      <c r="AYA13" s="198"/>
      <c r="AYB13" s="198"/>
      <c r="AYC13" s="198"/>
      <c r="AYD13" s="198"/>
      <c r="AYE13" s="198"/>
      <c r="AYF13" s="198"/>
      <c r="AYG13" s="198"/>
      <c r="AYH13" s="198"/>
      <c r="AYI13" s="198"/>
      <c r="AYJ13" s="198"/>
      <c r="AYK13" s="198"/>
      <c r="AYL13" s="198"/>
      <c r="AYM13" s="198"/>
      <c r="AYN13" s="198"/>
      <c r="AYO13" s="198"/>
      <c r="AYP13" s="198"/>
      <c r="AYQ13" s="198"/>
      <c r="AYR13" s="198"/>
      <c r="AYS13" s="198"/>
      <c r="AYT13" s="198"/>
      <c r="AYU13" s="198"/>
      <c r="AYV13" s="198"/>
      <c r="AYW13" s="198"/>
      <c r="AYX13" s="198"/>
      <c r="AYY13" s="198"/>
      <c r="AYZ13" s="198"/>
      <c r="AZA13" s="198"/>
      <c r="AZB13" s="198"/>
      <c r="AZC13" s="198"/>
      <c r="AZD13" s="198"/>
      <c r="AZE13" s="198"/>
      <c r="AZF13" s="198"/>
      <c r="AZG13" s="198"/>
      <c r="AZH13" s="198"/>
      <c r="AZI13" s="198"/>
      <c r="AZJ13" s="198"/>
      <c r="AZK13" s="198"/>
      <c r="AZL13" s="198"/>
      <c r="AZM13" s="198"/>
      <c r="AZN13" s="198"/>
      <c r="AZO13" s="198"/>
      <c r="AZP13" s="198"/>
      <c r="AZQ13" s="198"/>
      <c r="AZR13" s="198"/>
      <c r="AZS13" s="198"/>
      <c r="AZT13" s="198"/>
      <c r="AZU13" s="198"/>
      <c r="AZV13" s="198"/>
      <c r="AZW13" s="198"/>
      <c r="AZX13" s="198"/>
      <c r="AZY13" s="198"/>
      <c r="AZZ13" s="198"/>
      <c r="BAA13" s="198"/>
      <c r="BAB13" s="198"/>
      <c r="BAC13" s="198"/>
      <c r="BAD13" s="198"/>
      <c r="BAE13" s="198"/>
      <c r="BAF13" s="198"/>
      <c r="BAG13" s="199"/>
      <c r="BAH13" s="197" t="s">
        <v>82</v>
      </c>
      <c r="BAI13" s="198"/>
      <c r="BAJ13" s="198"/>
      <c r="BAK13" s="198"/>
      <c r="BAL13" s="198"/>
      <c r="BAM13" s="198"/>
      <c r="BAN13" s="198"/>
      <c r="BAO13" s="198"/>
      <c r="BAP13" s="198"/>
      <c r="BAQ13" s="198"/>
      <c r="BAR13" s="198"/>
      <c r="BAS13" s="198"/>
      <c r="BAT13" s="198"/>
      <c r="BAU13" s="198"/>
      <c r="BAV13" s="198"/>
      <c r="BAW13" s="198"/>
      <c r="BAX13" s="198"/>
      <c r="BAY13" s="198"/>
      <c r="BAZ13" s="198"/>
      <c r="BBA13" s="198"/>
      <c r="BBB13" s="198"/>
      <c r="BBC13" s="198"/>
      <c r="BBD13" s="198"/>
      <c r="BBE13" s="198"/>
      <c r="BBF13" s="198"/>
      <c r="BBG13" s="198"/>
      <c r="BBH13" s="198"/>
      <c r="BBI13" s="198"/>
      <c r="BBJ13" s="198"/>
      <c r="BBK13" s="198"/>
      <c r="BBL13" s="198"/>
      <c r="BBM13" s="198"/>
      <c r="BBN13" s="198"/>
      <c r="BBO13" s="198"/>
      <c r="BBP13" s="198"/>
      <c r="BBQ13" s="198"/>
      <c r="BBR13" s="198"/>
      <c r="BBS13" s="198"/>
      <c r="BBT13" s="198"/>
      <c r="BBU13" s="198"/>
      <c r="BBV13" s="198"/>
      <c r="BBW13" s="198"/>
      <c r="BBX13" s="198"/>
      <c r="BBY13" s="198"/>
      <c r="BBZ13" s="198"/>
      <c r="BCA13" s="198"/>
      <c r="BCB13" s="198"/>
      <c r="BCC13" s="198"/>
      <c r="BCD13" s="198"/>
      <c r="BCE13" s="198"/>
      <c r="BCF13" s="198"/>
      <c r="BCG13" s="198"/>
      <c r="BCH13" s="198"/>
      <c r="BCI13" s="198"/>
      <c r="BCJ13" s="198"/>
      <c r="BCK13" s="198"/>
      <c r="BCL13" s="198"/>
      <c r="BCM13" s="198"/>
      <c r="BCN13" s="198"/>
      <c r="BCO13" s="199"/>
      <c r="BCP13" s="197" t="s">
        <v>81</v>
      </c>
      <c r="BCQ13" s="198"/>
      <c r="BCR13" s="198"/>
      <c r="BCS13" s="198"/>
      <c r="BCT13" s="198"/>
      <c r="BCU13" s="198"/>
      <c r="BCV13" s="198"/>
      <c r="BCW13" s="198"/>
      <c r="BCX13" s="198"/>
      <c r="BCY13" s="198"/>
      <c r="BCZ13" s="198"/>
      <c r="BDA13" s="198"/>
      <c r="BDB13" s="198"/>
      <c r="BDC13" s="198"/>
      <c r="BDD13" s="198"/>
      <c r="BDE13" s="198"/>
      <c r="BDF13" s="198"/>
      <c r="BDG13" s="198"/>
      <c r="BDH13" s="198"/>
      <c r="BDI13" s="198"/>
      <c r="BDJ13" s="198"/>
      <c r="BDK13" s="198"/>
      <c r="BDL13" s="198"/>
      <c r="BDM13" s="198"/>
      <c r="BDN13" s="198"/>
      <c r="BDO13" s="198"/>
      <c r="BDP13" s="198"/>
      <c r="BDQ13" s="198"/>
      <c r="BDR13" s="198"/>
      <c r="BDS13" s="198"/>
      <c r="BDT13" s="198"/>
      <c r="BDU13" s="198"/>
      <c r="BDV13" s="198"/>
      <c r="BDW13" s="198"/>
      <c r="BDX13" s="198"/>
      <c r="BDY13" s="198"/>
      <c r="BDZ13" s="198"/>
      <c r="BEA13" s="198"/>
      <c r="BEB13" s="198"/>
      <c r="BEC13" s="198"/>
      <c r="BED13" s="198"/>
      <c r="BEE13" s="198"/>
      <c r="BEF13" s="198"/>
      <c r="BEG13" s="198"/>
      <c r="BEH13" s="198"/>
      <c r="BEI13" s="198"/>
      <c r="BEJ13" s="198"/>
      <c r="BEK13" s="198"/>
      <c r="BEL13" s="198"/>
      <c r="BEM13" s="198"/>
      <c r="BEN13" s="198"/>
      <c r="BEO13" s="198"/>
      <c r="BEP13" s="198"/>
      <c r="BEQ13" s="198"/>
      <c r="BER13" s="198"/>
      <c r="BES13" s="198"/>
      <c r="BET13" s="198"/>
      <c r="BEU13" s="198"/>
      <c r="BEV13" s="198"/>
      <c r="BEW13" s="199"/>
      <c r="BEX13" s="197" t="s">
        <v>80</v>
      </c>
      <c r="BEY13" s="198"/>
      <c r="BEZ13" s="198"/>
      <c r="BFA13" s="198"/>
      <c r="BFB13" s="198"/>
      <c r="BFC13" s="198"/>
      <c r="BFD13" s="198"/>
      <c r="BFE13" s="198"/>
      <c r="BFF13" s="198"/>
      <c r="BFG13" s="198"/>
      <c r="BFH13" s="198"/>
      <c r="BFI13" s="198"/>
      <c r="BFJ13" s="198"/>
      <c r="BFK13" s="198"/>
      <c r="BFL13" s="198"/>
      <c r="BFM13" s="198"/>
      <c r="BFN13" s="198"/>
      <c r="BFO13" s="198"/>
      <c r="BFP13" s="198"/>
      <c r="BFQ13" s="198"/>
      <c r="BFR13" s="198"/>
      <c r="BFS13" s="198"/>
      <c r="BFT13" s="198"/>
      <c r="BFU13" s="198"/>
      <c r="BFV13" s="198"/>
      <c r="BFW13" s="198"/>
      <c r="BFX13" s="198"/>
      <c r="BFY13" s="198"/>
      <c r="BFZ13" s="198"/>
      <c r="BGA13" s="198"/>
      <c r="BGB13" s="198"/>
      <c r="BGC13" s="198"/>
      <c r="BGD13" s="198"/>
      <c r="BGE13" s="198"/>
      <c r="BGF13" s="198"/>
      <c r="BGG13" s="198"/>
      <c r="BGH13" s="198"/>
      <c r="BGI13" s="198"/>
      <c r="BGJ13" s="198"/>
      <c r="BGK13" s="198"/>
      <c r="BGL13" s="198"/>
      <c r="BGM13" s="198"/>
      <c r="BGN13" s="198"/>
      <c r="BGO13" s="198"/>
      <c r="BGP13" s="198"/>
      <c r="BGQ13" s="198"/>
      <c r="BGR13" s="198"/>
      <c r="BGS13" s="198"/>
      <c r="BGT13" s="198"/>
      <c r="BGU13" s="198"/>
      <c r="BGV13" s="198"/>
      <c r="BGW13" s="198"/>
      <c r="BGX13" s="198"/>
      <c r="BGY13" s="198"/>
      <c r="BGZ13" s="198"/>
      <c r="BHA13" s="198"/>
      <c r="BHB13" s="198"/>
      <c r="BHC13" s="198"/>
      <c r="BHD13" s="198"/>
      <c r="BHE13" s="199"/>
      <c r="BHF13" s="197" t="s">
        <v>79</v>
      </c>
      <c r="BHG13" s="198"/>
      <c r="BHH13" s="198"/>
      <c r="BHI13" s="198"/>
      <c r="BHJ13" s="198"/>
      <c r="BHK13" s="198"/>
      <c r="BHL13" s="198"/>
      <c r="BHM13" s="198"/>
      <c r="BHN13" s="198"/>
      <c r="BHO13" s="198"/>
      <c r="BHP13" s="198"/>
      <c r="BHQ13" s="198"/>
      <c r="BHR13" s="198"/>
      <c r="BHS13" s="198"/>
      <c r="BHT13" s="198"/>
      <c r="BHU13" s="198"/>
      <c r="BHV13" s="198"/>
      <c r="BHW13" s="198"/>
      <c r="BHX13" s="198"/>
      <c r="BHY13" s="198"/>
      <c r="BHZ13" s="198"/>
      <c r="BIA13" s="198"/>
      <c r="BIB13" s="198"/>
      <c r="BIC13" s="198"/>
      <c r="BID13" s="198"/>
      <c r="BIE13" s="198"/>
      <c r="BIF13" s="198"/>
      <c r="BIG13" s="198"/>
      <c r="BIH13" s="198"/>
      <c r="BII13" s="198"/>
      <c r="BIJ13" s="198"/>
      <c r="BIK13" s="198"/>
      <c r="BIL13" s="198"/>
      <c r="BIM13" s="198"/>
      <c r="BIN13" s="198"/>
      <c r="BIO13" s="198"/>
      <c r="BIP13" s="198"/>
      <c r="BIQ13" s="198"/>
      <c r="BIR13" s="198"/>
      <c r="BIS13" s="198"/>
      <c r="BIT13" s="198"/>
      <c r="BIU13" s="198"/>
      <c r="BIV13" s="198"/>
      <c r="BIW13" s="198"/>
      <c r="BIX13" s="198"/>
      <c r="BIY13" s="198"/>
      <c r="BIZ13" s="198"/>
      <c r="BJA13" s="198"/>
      <c r="BJB13" s="198"/>
      <c r="BJC13" s="198"/>
      <c r="BJD13" s="198"/>
      <c r="BJE13" s="198"/>
      <c r="BJF13" s="198"/>
      <c r="BJG13" s="198"/>
      <c r="BJH13" s="198"/>
      <c r="BJI13" s="198"/>
      <c r="BJJ13" s="198"/>
      <c r="BJK13" s="198"/>
      <c r="BJL13" s="198"/>
      <c r="BJM13" s="199"/>
      <c r="BJN13" s="197" t="s">
        <v>78</v>
      </c>
      <c r="BJO13" s="198"/>
      <c r="BJP13" s="198"/>
      <c r="BJQ13" s="198"/>
      <c r="BJR13" s="198"/>
      <c r="BJS13" s="198"/>
      <c r="BJT13" s="198"/>
      <c r="BJU13" s="198"/>
      <c r="BJV13" s="198"/>
      <c r="BJW13" s="198"/>
      <c r="BJX13" s="198"/>
      <c r="BJY13" s="198"/>
      <c r="BJZ13" s="198"/>
      <c r="BKA13" s="198"/>
      <c r="BKB13" s="198"/>
      <c r="BKC13" s="198"/>
      <c r="BKD13" s="198"/>
      <c r="BKE13" s="198"/>
      <c r="BKF13" s="198"/>
      <c r="BKG13" s="198"/>
      <c r="BKH13" s="198"/>
      <c r="BKI13" s="198"/>
      <c r="BKJ13" s="198"/>
      <c r="BKK13" s="198"/>
      <c r="BKL13" s="198"/>
      <c r="BKM13" s="198"/>
      <c r="BKN13" s="198"/>
      <c r="BKO13" s="198"/>
      <c r="BKP13" s="198"/>
      <c r="BKQ13" s="198"/>
      <c r="BKR13" s="198"/>
      <c r="BKS13" s="198"/>
      <c r="BKT13" s="198"/>
      <c r="BKU13" s="198"/>
      <c r="BKV13" s="198"/>
      <c r="BKW13" s="198"/>
      <c r="BKX13" s="198"/>
      <c r="BKY13" s="198"/>
      <c r="BKZ13" s="198"/>
      <c r="BLA13" s="198"/>
      <c r="BLB13" s="198"/>
      <c r="BLC13" s="198"/>
      <c r="BLD13" s="198"/>
      <c r="BLE13" s="198"/>
      <c r="BLF13" s="198"/>
      <c r="BLG13" s="198"/>
      <c r="BLH13" s="198"/>
      <c r="BLI13" s="198"/>
      <c r="BLJ13" s="198"/>
      <c r="BLK13" s="198"/>
      <c r="BLL13" s="198"/>
      <c r="BLM13" s="198"/>
      <c r="BLN13" s="198"/>
      <c r="BLO13" s="198"/>
      <c r="BLP13" s="198"/>
      <c r="BLQ13" s="198"/>
      <c r="BLR13" s="198"/>
      <c r="BLS13" s="198"/>
      <c r="BLT13" s="198"/>
      <c r="BLU13" s="199"/>
      <c r="BLV13" s="90"/>
    </row>
    <row r="14" spans="1:1686" ht="12.75" customHeight="1" thickBot="1" x14ac:dyDescent="0.35">
      <c r="B14" s="96"/>
      <c r="C14" s="214"/>
      <c r="D14" s="145"/>
      <c r="E14" s="216"/>
      <c r="F14" s="103"/>
      <c r="G14" s="104"/>
      <c r="H14" s="104"/>
      <c r="I14" s="104"/>
      <c r="J14" s="200" t="s">
        <v>33</v>
      </c>
      <c r="K14" s="200"/>
      <c r="L14" s="200"/>
      <c r="M14" s="200"/>
      <c r="N14" s="104"/>
      <c r="O14" s="104"/>
      <c r="P14" s="201" t="s">
        <v>21</v>
      </c>
      <c r="Q14" s="201"/>
      <c r="R14" s="201"/>
      <c r="S14" s="201"/>
      <c r="T14" s="129"/>
      <c r="U14" s="129"/>
      <c r="V14" s="200" t="s">
        <v>34</v>
      </c>
      <c r="W14" s="200"/>
      <c r="X14" s="200"/>
      <c r="Y14" s="200"/>
      <c r="Z14" s="104"/>
      <c r="AA14" s="104"/>
      <c r="AB14" s="201" t="s">
        <v>22</v>
      </c>
      <c r="AC14" s="201"/>
      <c r="AD14" s="201"/>
      <c r="AE14" s="201"/>
      <c r="AF14" s="129"/>
      <c r="AG14" s="129"/>
      <c r="AH14" s="200" t="s">
        <v>35</v>
      </c>
      <c r="AI14" s="200"/>
      <c r="AJ14" s="200"/>
      <c r="AK14" s="200"/>
      <c r="AL14" s="104"/>
      <c r="AM14" s="104"/>
      <c r="AN14" s="201" t="s">
        <v>23</v>
      </c>
      <c r="AO14" s="201"/>
      <c r="AP14" s="201"/>
      <c r="AQ14" s="201"/>
      <c r="AR14" s="129"/>
      <c r="AS14" s="129"/>
      <c r="AT14" s="200" t="s">
        <v>36</v>
      </c>
      <c r="AU14" s="200"/>
      <c r="AV14" s="200"/>
      <c r="AW14" s="200"/>
      <c r="AX14" s="104"/>
      <c r="AY14" s="104"/>
      <c r="AZ14" s="201" t="s">
        <v>24</v>
      </c>
      <c r="BA14" s="201"/>
      <c r="BB14" s="201"/>
      <c r="BC14" s="201"/>
      <c r="BD14" s="129"/>
      <c r="BE14" s="129"/>
      <c r="BF14" s="200" t="s">
        <v>37</v>
      </c>
      <c r="BG14" s="200"/>
      <c r="BH14" s="200"/>
      <c r="BI14" s="200"/>
      <c r="BJ14" s="104"/>
      <c r="BK14" s="104"/>
      <c r="BL14" s="104"/>
      <c r="BM14" s="105"/>
      <c r="BN14" s="103"/>
      <c r="BO14" s="104"/>
      <c r="BP14" s="104"/>
      <c r="BQ14" s="104"/>
      <c r="BR14" s="200" t="s">
        <v>33</v>
      </c>
      <c r="BS14" s="200"/>
      <c r="BT14" s="200"/>
      <c r="BU14" s="200"/>
      <c r="BV14" s="104"/>
      <c r="BW14" s="104"/>
      <c r="BX14" s="201" t="s">
        <v>21</v>
      </c>
      <c r="BY14" s="201"/>
      <c r="BZ14" s="201"/>
      <c r="CA14" s="201"/>
      <c r="CB14" s="129"/>
      <c r="CC14" s="129"/>
      <c r="CD14" s="200" t="s">
        <v>34</v>
      </c>
      <c r="CE14" s="200"/>
      <c r="CF14" s="200"/>
      <c r="CG14" s="200"/>
      <c r="CH14" s="104"/>
      <c r="CI14" s="104"/>
      <c r="CJ14" s="201" t="s">
        <v>22</v>
      </c>
      <c r="CK14" s="201"/>
      <c r="CL14" s="201"/>
      <c r="CM14" s="201"/>
      <c r="CN14" s="129"/>
      <c r="CO14" s="129"/>
      <c r="CP14" s="200" t="s">
        <v>35</v>
      </c>
      <c r="CQ14" s="200"/>
      <c r="CR14" s="200"/>
      <c r="CS14" s="200"/>
      <c r="CT14" s="104"/>
      <c r="CU14" s="104"/>
      <c r="CV14" s="201" t="s">
        <v>23</v>
      </c>
      <c r="CW14" s="201"/>
      <c r="CX14" s="201"/>
      <c r="CY14" s="201"/>
      <c r="CZ14" s="129"/>
      <c r="DA14" s="129"/>
      <c r="DB14" s="200" t="s">
        <v>36</v>
      </c>
      <c r="DC14" s="200"/>
      <c r="DD14" s="200"/>
      <c r="DE14" s="200"/>
      <c r="DF14" s="104"/>
      <c r="DG14" s="104"/>
      <c r="DH14" s="201" t="s">
        <v>24</v>
      </c>
      <c r="DI14" s="201"/>
      <c r="DJ14" s="201"/>
      <c r="DK14" s="201"/>
      <c r="DL14" s="129"/>
      <c r="DM14" s="129"/>
      <c r="DN14" s="200" t="s">
        <v>37</v>
      </c>
      <c r="DO14" s="200"/>
      <c r="DP14" s="200"/>
      <c r="DQ14" s="200"/>
      <c r="DR14" s="104"/>
      <c r="DS14" s="104"/>
      <c r="DT14" s="104"/>
      <c r="DU14" s="105"/>
      <c r="DV14" s="103"/>
      <c r="DW14" s="104"/>
      <c r="DX14" s="104"/>
      <c r="DY14" s="104"/>
      <c r="DZ14" s="200" t="s">
        <v>33</v>
      </c>
      <c r="EA14" s="200"/>
      <c r="EB14" s="200"/>
      <c r="EC14" s="200"/>
      <c r="ED14" s="104"/>
      <c r="EE14" s="104"/>
      <c r="EF14" s="201" t="s">
        <v>21</v>
      </c>
      <c r="EG14" s="201"/>
      <c r="EH14" s="201"/>
      <c r="EI14" s="201"/>
      <c r="EJ14" s="129"/>
      <c r="EK14" s="129"/>
      <c r="EL14" s="200" t="s">
        <v>34</v>
      </c>
      <c r="EM14" s="200"/>
      <c r="EN14" s="200"/>
      <c r="EO14" s="200"/>
      <c r="EP14" s="104"/>
      <c r="EQ14" s="104"/>
      <c r="ER14" s="201" t="s">
        <v>22</v>
      </c>
      <c r="ES14" s="201"/>
      <c r="ET14" s="201"/>
      <c r="EU14" s="201"/>
      <c r="EV14" s="129"/>
      <c r="EW14" s="129"/>
      <c r="EX14" s="200" t="s">
        <v>35</v>
      </c>
      <c r="EY14" s="200"/>
      <c r="EZ14" s="200"/>
      <c r="FA14" s="200"/>
      <c r="FB14" s="104"/>
      <c r="FC14" s="104"/>
      <c r="FD14" s="201" t="s">
        <v>23</v>
      </c>
      <c r="FE14" s="201"/>
      <c r="FF14" s="201"/>
      <c r="FG14" s="201"/>
      <c r="FH14" s="129"/>
      <c r="FI14" s="129"/>
      <c r="FJ14" s="200" t="s">
        <v>36</v>
      </c>
      <c r="FK14" s="200"/>
      <c r="FL14" s="200"/>
      <c r="FM14" s="200"/>
      <c r="FN14" s="104"/>
      <c r="FO14" s="104"/>
      <c r="FP14" s="201" t="s">
        <v>24</v>
      </c>
      <c r="FQ14" s="201"/>
      <c r="FR14" s="201"/>
      <c r="FS14" s="201"/>
      <c r="FT14" s="129"/>
      <c r="FU14" s="129"/>
      <c r="FV14" s="200" t="s">
        <v>37</v>
      </c>
      <c r="FW14" s="200"/>
      <c r="FX14" s="200"/>
      <c r="FY14" s="200"/>
      <c r="FZ14" s="104"/>
      <c r="GA14" s="104"/>
      <c r="GB14" s="104"/>
      <c r="GC14" s="105"/>
      <c r="GD14" s="103"/>
      <c r="GE14" s="104"/>
      <c r="GF14" s="104"/>
      <c r="GG14" s="104"/>
      <c r="GH14" s="200" t="s">
        <v>33</v>
      </c>
      <c r="GI14" s="200"/>
      <c r="GJ14" s="200"/>
      <c r="GK14" s="200"/>
      <c r="GL14" s="104"/>
      <c r="GM14" s="104"/>
      <c r="GN14" s="201" t="s">
        <v>21</v>
      </c>
      <c r="GO14" s="201"/>
      <c r="GP14" s="201"/>
      <c r="GQ14" s="201"/>
      <c r="GR14" s="129"/>
      <c r="GS14" s="129"/>
      <c r="GT14" s="200" t="s">
        <v>34</v>
      </c>
      <c r="GU14" s="200"/>
      <c r="GV14" s="200"/>
      <c r="GW14" s="200"/>
      <c r="GX14" s="104"/>
      <c r="GY14" s="104"/>
      <c r="GZ14" s="201" t="s">
        <v>22</v>
      </c>
      <c r="HA14" s="201"/>
      <c r="HB14" s="201"/>
      <c r="HC14" s="201"/>
      <c r="HD14" s="129"/>
      <c r="HE14" s="129"/>
      <c r="HF14" s="200" t="s">
        <v>35</v>
      </c>
      <c r="HG14" s="200"/>
      <c r="HH14" s="200"/>
      <c r="HI14" s="200"/>
      <c r="HJ14" s="104"/>
      <c r="HK14" s="104"/>
      <c r="HL14" s="201" t="s">
        <v>23</v>
      </c>
      <c r="HM14" s="201"/>
      <c r="HN14" s="201"/>
      <c r="HO14" s="201"/>
      <c r="HP14" s="129"/>
      <c r="HQ14" s="129"/>
      <c r="HR14" s="200" t="s">
        <v>36</v>
      </c>
      <c r="HS14" s="200"/>
      <c r="HT14" s="200"/>
      <c r="HU14" s="200"/>
      <c r="HV14" s="104"/>
      <c r="HW14" s="104"/>
      <c r="HX14" s="201" t="s">
        <v>24</v>
      </c>
      <c r="HY14" s="201"/>
      <c r="HZ14" s="201"/>
      <c r="IA14" s="201"/>
      <c r="IB14" s="129"/>
      <c r="IC14" s="129"/>
      <c r="ID14" s="200" t="s">
        <v>37</v>
      </c>
      <c r="IE14" s="200"/>
      <c r="IF14" s="200"/>
      <c r="IG14" s="200"/>
      <c r="IH14" s="104"/>
      <c r="II14" s="104"/>
      <c r="IJ14" s="104"/>
      <c r="IK14" s="105"/>
      <c r="IL14" s="103"/>
      <c r="IM14" s="104"/>
      <c r="IN14" s="104"/>
      <c r="IO14" s="104"/>
      <c r="IP14" s="200" t="s">
        <v>33</v>
      </c>
      <c r="IQ14" s="200"/>
      <c r="IR14" s="200"/>
      <c r="IS14" s="200"/>
      <c r="IT14" s="104"/>
      <c r="IU14" s="104"/>
      <c r="IV14" s="201" t="s">
        <v>21</v>
      </c>
      <c r="IW14" s="201"/>
      <c r="IX14" s="201"/>
      <c r="IY14" s="201"/>
      <c r="IZ14" s="129"/>
      <c r="JA14" s="129"/>
      <c r="JB14" s="200" t="s">
        <v>34</v>
      </c>
      <c r="JC14" s="200"/>
      <c r="JD14" s="200"/>
      <c r="JE14" s="200"/>
      <c r="JF14" s="104"/>
      <c r="JG14" s="104"/>
      <c r="JH14" s="201" t="s">
        <v>22</v>
      </c>
      <c r="JI14" s="201"/>
      <c r="JJ14" s="201"/>
      <c r="JK14" s="201"/>
      <c r="JL14" s="129"/>
      <c r="JM14" s="129"/>
      <c r="JN14" s="200" t="s">
        <v>35</v>
      </c>
      <c r="JO14" s="200"/>
      <c r="JP14" s="200"/>
      <c r="JQ14" s="200"/>
      <c r="JR14" s="104"/>
      <c r="JS14" s="104"/>
      <c r="JT14" s="201" t="s">
        <v>23</v>
      </c>
      <c r="JU14" s="201"/>
      <c r="JV14" s="201"/>
      <c r="JW14" s="201"/>
      <c r="JX14" s="129"/>
      <c r="JY14" s="129"/>
      <c r="JZ14" s="200" t="s">
        <v>36</v>
      </c>
      <c r="KA14" s="200"/>
      <c r="KB14" s="200"/>
      <c r="KC14" s="200"/>
      <c r="KD14" s="104"/>
      <c r="KE14" s="104"/>
      <c r="KF14" s="201" t="s">
        <v>24</v>
      </c>
      <c r="KG14" s="201"/>
      <c r="KH14" s="201"/>
      <c r="KI14" s="201"/>
      <c r="KJ14" s="129"/>
      <c r="KK14" s="129"/>
      <c r="KL14" s="200" t="s">
        <v>37</v>
      </c>
      <c r="KM14" s="200"/>
      <c r="KN14" s="200"/>
      <c r="KO14" s="200"/>
      <c r="KP14" s="104"/>
      <c r="KQ14" s="104"/>
      <c r="KR14" s="104"/>
      <c r="KS14" s="105"/>
      <c r="KT14" s="103"/>
      <c r="KU14" s="104"/>
      <c r="KV14" s="104"/>
      <c r="KW14" s="104"/>
      <c r="KX14" s="200" t="s">
        <v>33</v>
      </c>
      <c r="KY14" s="200"/>
      <c r="KZ14" s="200"/>
      <c r="LA14" s="200"/>
      <c r="LB14" s="104"/>
      <c r="LC14" s="104"/>
      <c r="LD14" s="201" t="s">
        <v>21</v>
      </c>
      <c r="LE14" s="201"/>
      <c r="LF14" s="201"/>
      <c r="LG14" s="201"/>
      <c r="LH14" s="129"/>
      <c r="LI14" s="129"/>
      <c r="LJ14" s="200" t="s">
        <v>34</v>
      </c>
      <c r="LK14" s="200"/>
      <c r="LL14" s="200"/>
      <c r="LM14" s="200"/>
      <c r="LN14" s="104"/>
      <c r="LO14" s="104"/>
      <c r="LP14" s="201" t="s">
        <v>22</v>
      </c>
      <c r="LQ14" s="201"/>
      <c r="LR14" s="201"/>
      <c r="LS14" s="201"/>
      <c r="LT14" s="129"/>
      <c r="LU14" s="129"/>
      <c r="LV14" s="200" t="s">
        <v>35</v>
      </c>
      <c r="LW14" s="200"/>
      <c r="LX14" s="200"/>
      <c r="LY14" s="200"/>
      <c r="LZ14" s="104"/>
      <c r="MA14" s="104"/>
      <c r="MB14" s="201" t="s">
        <v>23</v>
      </c>
      <c r="MC14" s="201"/>
      <c r="MD14" s="201"/>
      <c r="ME14" s="201"/>
      <c r="MF14" s="129"/>
      <c r="MG14" s="129"/>
      <c r="MH14" s="200" t="s">
        <v>36</v>
      </c>
      <c r="MI14" s="200"/>
      <c r="MJ14" s="200"/>
      <c r="MK14" s="200"/>
      <c r="ML14" s="104"/>
      <c r="MM14" s="104"/>
      <c r="MN14" s="201" t="s">
        <v>24</v>
      </c>
      <c r="MO14" s="201"/>
      <c r="MP14" s="201"/>
      <c r="MQ14" s="201"/>
      <c r="MR14" s="129"/>
      <c r="MS14" s="129"/>
      <c r="MT14" s="200" t="s">
        <v>37</v>
      </c>
      <c r="MU14" s="200"/>
      <c r="MV14" s="200"/>
      <c r="MW14" s="200"/>
      <c r="MX14" s="104"/>
      <c r="MY14" s="104"/>
      <c r="MZ14" s="104"/>
      <c r="NA14" s="105"/>
      <c r="NB14" s="103"/>
      <c r="NC14" s="104"/>
      <c r="ND14" s="104"/>
      <c r="NE14" s="104"/>
      <c r="NF14" s="200" t="s">
        <v>33</v>
      </c>
      <c r="NG14" s="200"/>
      <c r="NH14" s="200"/>
      <c r="NI14" s="200"/>
      <c r="NJ14" s="104"/>
      <c r="NK14" s="104"/>
      <c r="NL14" s="201" t="s">
        <v>21</v>
      </c>
      <c r="NM14" s="201"/>
      <c r="NN14" s="201"/>
      <c r="NO14" s="201"/>
      <c r="NP14" s="129"/>
      <c r="NQ14" s="129"/>
      <c r="NR14" s="200" t="s">
        <v>34</v>
      </c>
      <c r="NS14" s="200"/>
      <c r="NT14" s="200"/>
      <c r="NU14" s="200"/>
      <c r="NV14" s="104"/>
      <c r="NW14" s="104"/>
      <c r="NX14" s="201" t="s">
        <v>22</v>
      </c>
      <c r="NY14" s="201"/>
      <c r="NZ14" s="201"/>
      <c r="OA14" s="201"/>
      <c r="OB14" s="129"/>
      <c r="OC14" s="129"/>
      <c r="OD14" s="200" t="s">
        <v>35</v>
      </c>
      <c r="OE14" s="200"/>
      <c r="OF14" s="200"/>
      <c r="OG14" s="200"/>
      <c r="OH14" s="104"/>
      <c r="OI14" s="104"/>
      <c r="OJ14" s="201" t="s">
        <v>23</v>
      </c>
      <c r="OK14" s="201"/>
      <c r="OL14" s="201"/>
      <c r="OM14" s="201"/>
      <c r="ON14" s="129"/>
      <c r="OO14" s="129"/>
      <c r="OP14" s="200" t="s">
        <v>36</v>
      </c>
      <c r="OQ14" s="200"/>
      <c r="OR14" s="200"/>
      <c r="OS14" s="200"/>
      <c r="OT14" s="104"/>
      <c r="OU14" s="104"/>
      <c r="OV14" s="201" t="s">
        <v>24</v>
      </c>
      <c r="OW14" s="201"/>
      <c r="OX14" s="201"/>
      <c r="OY14" s="201"/>
      <c r="OZ14" s="129"/>
      <c r="PA14" s="129"/>
      <c r="PB14" s="200" t="s">
        <v>37</v>
      </c>
      <c r="PC14" s="200"/>
      <c r="PD14" s="200"/>
      <c r="PE14" s="200"/>
      <c r="PF14" s="104"/>
      <c r="PG14" s="104"/>
      <c r="PH14" s="104"/>
      <c r="PI14" s="105"/>
      <c r="PJ14" s="103"/>
      <c r="PK14" s="104"/>
      <c r="PL14" s="104"/>
      <c r="PM14" s="104"/>
      <c r="PN14" s="200" t="s">
        <v>33</v>
      </c>
      <c r="PO14" s="200"/>
      <c r="PP14" s="200"/>
      <c r="PQ14" s="200"/>
      <c r="PR14" s="104"/>
      <c r="PS14" s="104"/>
      <c r="PT14" s="201" t="s">
        <v>21</v>
      </c>
      <c r="PU14" s="201"/>
      <c r="PV14" s="201"/>
      <c r="PW14" s="201"/>
      <c r="PX14" s="129"/>
      <c r="PY14" s="129"/>
      <c r="PZ14" s="200" t="s">
        <v>34</v>
      </c>
      <c r="QA14" s="200"/>
      <c r="QB14" s="200"/>
      <c r="QC14" s="200"/>
      <c r="QD14" s="104"/>
      <c r="QE14" s="104"/>
      <c r="QF14" s="201" t="s">
        <v>22</v>
      </c>
      <c r="QG14" s="201"/>
      <c r="QH14" s="201"/>
      <c r="QI14" s="201"/>
      <c r="QJ14" s="129"/>
      <c r="QK14" s="129"/>
      <c r="QL14" s="200" t="s">
        <v>35</v>
      </c>
      <c r="QM14" s="200"/>
      <c r="QN14" s="200"/>
      <c r="QO14" s="200"/>
      <c r="QP14" s="104"/>
      <c r="QQ14" s="104"/>
      <c r="QR14" s="201" t="s">
        <v>23</v>
      </c>
      <c r="QS14" s="201"/>
      <c r="QT14" s="201"/>
      <c r="QU14" s="201"/>
      <c r="QV14" s="129"/>
      <c r="QW14" s="129"/>
      <c r="QX14" s="200" t="s">
        <v>36</v>
      </c>
      <c r="QY14" s="200"/>
      <c r="QZ14" s="200"/>
      <c r="RA14" s="200"/>
      <c r="RB14" s="104"/>
      <c r="RC14" s="104"/>
      <c r="RD14" s="201" t="s">
        <v>24</v>
      </c>
      <c r="RE14" s="201"/>
      <c r="RF14" s="201"/>
      <c r="RG14" s="201"/>
      <c r="RH14" s="129"/>
      <c r="RI14" s="129"/>
      <c r="RJ14" s="200" t="s">
        <v>37</v>
      </c>
      <c r="RK14" s="200"/>
      <c r="RL14" s="200"/>
      <c r="RM14" s="200"/>
      <c r="RN14" s="104"/>
      <c r="RO14" s="104"/>
      <c r="RP14" s="104"/>
      <c r="RQ14" s="105"/>
      <c r="RR14" s="103"/>
      <c r="RS14" s="104"/>
      <c r="RT14" s="104"/>
      <c r="RU14" s="104"/>
      <c r="RV14" s="200" t="s">
        <v>33</v>
      </c>
      <c r="RW14" s="200"/>
      <c r="RX14" s="200"/>
      <c r="RY14" s="200"/>
      <c r="RZ14" s="104"/>
      <c r="SA14" s="104"/>
      <c r="SB14" s="201" t="s">
        <v>21</v>
      </c>
      <c r="SC14" s="201"/>
      <c r="SD14" s="201"/>
      <c r="SE14" s="201"/>
      <c r="SF14" s="129"/>
      <c r="SG14" s="129"/>
      <c r="SH14" s="200" t="s">
        <v>34</v>
      </c>
      <c r="SI14" s="200"/>
      <c r="SJ14" s="200"/>
      <c r="SK14" s="200"/>
      <c r="SL14" s="104"/>
      <c r="SM14" s="104"/>
      <c r="SN14" s="201" t="s">
        <v>22</v>
      </c>
      <c r="SO14" s="201"/>
      <c r="SP14" s="201"/>
      <c r="SQ14" s="201"/>
      <c r="SR14" s="129"/>
      <c r="SS14" s="129"/>
      <c r="ST14" s="200" t="s">
        <v>35</v>
      </c>
      <c r="SU14" s="200"/>
      <c r="SV14" s="200"/>
      <c r="SW14" s="200"/>
      <c r="SX14" s="104"/>
      <c r="SY14" s="104"/>
      <c r="SZ14" s="201" t="s">
        <v>23</v>
      </c>
      <c r="TA14" s="201"/>
      <c r="TB14" s="201"/>
      <c r="TC14" s="201"/>
      <c r="TD14" s="129"/>
      <c r="TE14" s="129"/>
      <c r="TF14" s="200" t="s">
        <v>36</v>
      </c>
      <c r="TG14" s="200"/>
      <c r="TH14" s="200"/>
      <c r="TI14" s="200"/>
      <c r="TJ14" s="104"/>
      <c r="TK14" s="104"/>
      <c r="TL14" s="201" t="s">
        <v>24</v>
      </c>
      <c r="TM14" s="201"/>
      <c r="TN14" s="201"/>
      <c r="TO14" s="201"/>
      <c r="TP14" s="129"/>
      <c r="TQ14" s="129"/>
      <c r="TR14" s="200" t="s">
        <v>37</v>
      </c>
      <c r="TS14" s="200"/>
      <c r="TT14" s="200"/>
      <c r="TU14" s="200"/>
      <c r="TV14" s="104"/>
      <c r="TW14" s="104"/>
      <c r="TX14" s="104"/>
      <c r="TY14" s="105"/>
      <c r="TZ14" s="103"/>
      <c r="UA14" s="104"/>
      <c r="UB14" s="104"/>
      <c r="UC14" s="104"/>
      <c r="UD14" s="200" t="s">
        <v>33</v>
      </c>
      <c r="UE14" s="200"/>
      <c r="UF14" s="200"/>
      <c r="UG14" s="200"/>
      <c r="UH14" s="104"/>
      <c r="UI14" s="104"/>
      <c r="UJ14" s="201" t="s">
        <v>21</v>
      </c>
      <c r="UK14" s="201"/>
      <c r="UL14" s="201"/>
      <c r="UM14" s="201"/>
      <c r="UN14" s="129"/>
      <c r="UO14" s="129"/>
      <c r="UP14" s="200" t="s">
        <v>34</v>
      </c>
      <c r="UQ14" s="200"/>
      <c r="UR14" s="200"/>
      <c r="US14" s="200"/>
      <c r="UT14" s="104"/>
      <c r="UU14" s="104"/>
      <c r="UV14" s="201" t="s">
        <v>22</v>
      </c>
      <c r="UW14" s="201"/>
      <c r="UX14" s="201"/>
      <c r="UY14" s="201"/>
      <c r="UZ14" s="129"/>
      <c r="VA14" s="129"/>
      <c r="VB14" s="200" t="s">
        <v>35</v>
      </c>
      <c r="VC14" s="200"/>
      <c r="VD14" s="200"/>
      <c r="VE14" s="200"/>
      <c r="VF14" s="104"/>
      <c r="VG14" s="104"/>
      <c r="VH14" s="201" t="s">
        <v>23</v>
      </c>
      <c r="VI14" s="201"/>
      <c r="VJ14" s="201"/>
      <c r="VK14" s="201"/>
      <c r="VL14" s="129"/>
      <c r="VM14" s="129"/>
      <c r="VN14" s="200" t="s">
        <v>36</v>
      </c>
      <c r="VO14" s="200"/>
      <c r="VP14" s="200"/>
      <c r="VQ14" s="200"/>
      <c r="VR14" s="104"/>
      <c r="VS14" s="104"/>
      <c r="VT14" s="201" t="s">
        <v>24</v>
      </c>
      <c r="VU14" s="201"/>
      <c r="VV14" s="201"/>
      <c r="VW14" s="201"/>
      <c r="VX14" s="129"/>
      <c r="VY14" s="129"/>
      <c r="VZ14" s="200" t="s">
        <v>37</v>
      </c>
      <c r="WA14" s="200"/>
      <c r="WB14" s="200"/>
      <c r="WC14" s="200"/>
      <c r="WD14" s="104"/>
      <c r="WE14" s="104"/>
      <c r="WF14" s="104"/>
      <c r="WG14" s="105"/>
      <c r="WH14" s="103"/>
      <c r="WI14" s="104"/>
      <c r="WJ14" s="104"/>
      <c r="WK14" s="104"/>
      <c r="WL14" s="200" t="s">
        <v>33</v>
      </c>
      <c r="WM14" s="200"/>
      <c r="WN14" s="200"/>
      <c r="WO14" s="200"/>
      <c r="WP14" s="104"/>
      <c r="WQ14" s="104"/>
      <c r="WR14" s="201" t="s">
        <v>21</v>
      </c>
      <c r="WS14" s="201"/>
      <c r="WT14" s="201"/>
      <c r="WU14" s="201"/>
      <c r="WV14" s="129"/>
      <c r="WW14" s="129"/>
      <c r="WX14" s="200" t="s">
        <v>34</v>
      </c>
      <c r="WY14" s="200"/>
      <c r="WZ14" s="200"/>
      <c r="XA14" s="200"/>
      <c r="XB14" s="104"/>
      <c r="XC14" s="104"/>
      <c r="XD14" s="201" t="s">
        <v>22</v>
      </c>
      <c r="XE14" s="201"/>
      <c r="XF14" s="201"/>
      <c r="XG14" s="201"/>
      <c r="XH14" s="129"/>
      <c r="XI14" s="129"/>
      <c r="XJ14" s="200" t="s">
        <v>35</v>
      </c>
      <c r="XK14" s="200"/>
      <c r="XL14" s="200"/>
      <c r="XM14" s="200"/>
      <c r="XN14" s="104"/>
      <c r="XO14" s="104"/>
      <c r="XP14" s="201" t="s">
        <v>23</v>
      </c>
      <c r="XQ14" s="201"/>
      <c r="XR14" s="201"/>
      <c r="XS14" s="201"/>
      <c r="XT14" s="129"/>
      <c r="XU14" s="129"/>
      <c r="XV14" s="200" t="s">
        <v>36</v>
      </c>
      <c r="XW14" s="200"/>
      <c r="XX14" s="200"/>
      <c r="XY14" s="200"/>
      <c r="XZ14" s="104"/>
      <c r="YA14" s="104"/>
      <c r="YB14" s="201" t="s">
        <v>24</v>
      </c>
      <c r="YC14" s="201"/>
      <c r="YD14" s="201"/>
      <c r="YE14" s="201"/>
      <c r="YF14" s="129"/>
      <c r="YG14" s="129"/>
      <c r="YH14" s="200" t="s">
        <v>37</v>
      </c>
      <c r="YI14" s="200"/>
      <c r="YJ14" s="200"/>
      <c r="YK14" s="200"/>
      <c r="YL14" s="104"/>
      <c r="YM14" s="104"/>
      <c r="YN14" s="104"/>
      <c r="YO14" s="105"/>
      <c r="YP14" s="103"/>
      <c r="YQ14" s="104"/>
      <c r="YR14" s="104"/>
      <c r="YS14" s="104"/>
      <c r="YT14" s="200" t="s">
        <v>33</v>
      </c>
      <c r="YU14" s="200"/>
      <c r="YV14" s="200"/>
      <c r="YW14" s="200"/>
      <c r="YX14" s="104"/>
      <c r="YY14" s="104"/>
      <c r="YZ14" s="201" t="s">
        <v>21</v>
      </c>
      <c r="ZA14" s="201"/>
      <c r="ZB14" s="201"/>
      <c r="ZC14" s="201"/>
      <c r="ZD14" s="129"/>
      <c r="ZE14" s="129"/>
      <c r="ZF14" s="200" t="s">
        <v>34</v>
      </c>
      <c r="ZG14" s="200"/>
      <c r="ZH14" s="200"/>
      <c r="ZI14" s="200"/>
      <c r="ZJ14" s="104"/>
      <c r="ZK14" s="104"/>
      <c r="ZL14" s="201" t="s">
        <v>22</v>
      </c>
      <c r="ZM14" s="201"/>
      <c r="ZN14" s="201"/>
      <c r="ZO14" s="201"/>
      <c r="ZP14" s="129"/>
      <c r="ZQ14" s="129"/>
      <c r="ZR14" s="200" t="s">
        <v>35</v>
      </c>
      <c r="ZS14" s="200"/>
      <c r="ZT14" s="200"/>
      <c r="ZU14" s="200"/>
      <c r="ZV14" s="104"/>
      <c r="ZW14" s="104"/>
      <c r="ZX14" s="201" t="s">
        <v>23</v>
      </c>
      <c r="ZY14" s="201"/>
      <c r="ZZ14" s="201"/>
      <c r="AAA14" s="201"/>
      <c r="AAB14" s="129"/>
      <c r="AAC14" s="129"/>
      <c r="AAD14" s="200" t="s">
        <v>36</v>
      </c>
      <c r="AAE14" s="200"/>
      <c r="AAF14" s="200"/>
      <c r="AAG14" s="200"/>
      <c r="AAH14" s="104"/>
      <c r="AAI14" s="104"/>
      <c r="AAJ14" s="201" t="s">
        <v>24</v>
      </c>
      <c r="AAK14" s="201"/>
      <c r="AAL14" s="201"/>
      <c r="AAM14" s="201"/>
      <c r="AAN14" s="129"/>
      <c r="AAO14" s="129"/>
      <c r="AAP14" s="200" t="s">
        <v>37</v>
      </c>
      <c r="AAQ14" s="200"/>
      <c r="AAR14" s="200"/>
      <c r="AAS14" s="200"/>
      <c r="AAT14" s="104"/>
      <c r="AAU14" s="104"/>
      <c r="AAV14" s="104"/>
      <c r="AAW14" s="105"/>
      <c r="AAX14" s="103"/>
      <c r="AAY14" s="104"/>
      <c r="AAZ14" s="104"/>
      <c r="ABA14" s="104"/>
      <c r="ABB14" s="200" t="s">
        <v>33</v>
      </c>
      <c r="ABC14" s="200"/>
      <c r="ABD14" s="200"/>
      <c r="ABE14" s="200"/>
      <c r="ABF14" s="104"/>
      <c r="ABG14" s="104"/>
      <c r="ABH14" s="201" t="s">
        <v>21</v>
      </c>
      <c r="ABI14" s="201"/>
      <c r="ABJ14" s="201"/>
      <c r="ABK14" s="201"/>
      <c r="ABL14" s="129"/>
      <c r="ABM14" s="129"/>
      <c r="ABN14" s="200" t="s">
        <v>34</v>
      </c>
      <c r="ABO14" s="200"/>
      <c r="ABP14" s="200"/>
      <c r="ABQ14" s="200"/>
      <c r="ABR14" s="104"/>
      <c r="ABS14" s="104"/>
      <c r="ABT14" s="201" t="s">
        <v>22</v>
      </c>
      <c r="ABU14" s="201"/>
      <c r="ABV14" s="201"/>
      <c r="ABW14" s="201"/>
      <c r="ABX14" s="129"/>
      <c r="ABY14" s="129"/>
      <c r="ABZ14" s="200" t="s">
        <v>35</v>
      </c>
      <c r="ACA14" s="200"/>
      <c r="ACB14" s="200"/>
      <c r="ACC14" s="200"/>
      <c r="ACD14" s="104"/>
      <c r="ACE14" s="104"/>
      <c r="ACF14" s="201" t="s">
        <v>23</v>
      </c>
      <c r="ACG14" s="201"/>
      <c r="ACH14" s="201"/>
      <c r="ACI14" s="201"/>
      <c r="ACJ14" s="129"/>
      <c r="ACK14" s="129"/>
      <c r="ACL14" s="200" t="s">
        <v>36</v>
      </c>
      <c r="ACM14" s="200"/>
      <c r="ACN14" s="200"/>
      <c r="ACO14" s="200"/>
      <c r="ACP14" s="104"/>
      <c r="ACQ14" s="104"/>
      <c r="ACR14" s="201" t="s">
        <v>24</v>
      </c>
      <c r="ACS14" s="201"/>
      <c r="ACT14" s="201"/>
      <c r="ACU14" s="201"/>
      <c r="ACV14" s="129"/>
      <c r="ACW14" s="129"/>
      <c r="ACX14" s="200" t="s">
        <v>37</v>
      </c>
      <c r="ACY14" s="200"/>
      <c r="ACZ14" s="200"/>
      <c r="ADA14" s="200"/>
      <c r="ADB14" s="104"/>
      <c r="ADC14" s="104"/>
      <c r="ADD14" s="104"/>
      <c r="ADE14" s="105"/>
      <c r="ADF14" s="103"/>
      <c r="ADG14" s="104"/>
      <c r="ADH14" s="104"/>
      <c r="ADI14" s="104"/>
      <c r="ADJ14" s="200" t="s">
        <v>33</v>
      </c>
      <c r="ADK14" s="200"/>
      <c r="ADL14" s="200"/>
      <c r="ADM14" s="200"/>
      <c r="ADN14" s="104"/>
      <c r="ADO14" s="104"/>
      <c r="ADP14" s="201" t="s">
        <v>21</v>
      </c>
      <c r="ADQ14" s="201"/>
      <c r="ADR14" s="201"/>
      <c r="ADS14" s="201"/>
      <c r="ADT14" s="129"/>
      <c r="ADU14" s="129"/>
      <c r="ADV14" s="200" t="s">
        <v>34</v>
      </c>
      <c r="ADW14" s="200"/>
      <c r="ADX14" s="200"/>
      <c r="ADY14" s="200"/>
      <c r="ADZ14" s="104"/>
      <c r="AEA14" s="104"/>
      <c r="AEB14" s="201" t="s">
        <v>22</v>
      </c>
      <c r="AEC14" s="201"/>
      <c r="AED14" s="201"/>
      <c r="AEE14" s="201"/>
      <c r="AEF14" s="129"/>
      <c r="AEG14" s="129"/>
      <c r="AEH14" s="200" t="s">
        <v>35</v>
      </c>
      <c r="AEI14" s="200"/>
      <c r="AEJ14" s="200"/>
      <c r="AEK14" s="200"/>
      <c r="AEL14" s="104"/>
      <c r="AEM14" s="104"/>
      <c r="AEN14" s="201" t="s">
        <v>23</v>
      </c>
      <c r="AEO14" s="201"/>
      <c r="AEP14" s="201"/>
      <c r="AEQ14" s="201"/>
      <c r="AER14" s="129"/>
      <c r="AES14" s="129"/>
      <c r="AET14" s="200" t="s">
        <v>36</v>
      </c>
      <c r="AEU14" s="200"/>
      <c r="AEV14" s="200"/>
      <c r="AEW14" s="200"/>
      <c r="AEX14" s="104"/>
      <c r="AEY14" s="104"/>
      <c r="AEZ14" s="201" t="s">
        <v>24</v>
      </c>
      <c r="AFA14" s="201"/>
      <c r="AFB14" s="201"/>
      <c r="AFC14" s="201"/>
      <c r="AFD14" s="129"/>
      <c r="AFE14" s="129"/>
      <c r="AFF14" s="200" t="s">
        <v>37</v>
      </c>
      <c r="AFG14" s="200"/>
      <c r="AFH14" s="200"/>
      <c r="AFI14" s="200"/>
      <c r="AFJ14" s="104"/>
      <c r="AFK14" s="104"/>
      <c r="AFL14" s="104"/>
      <c r="AFM14" s="105"/>
      <c r="AFN14" s="103"/>
      <c r="AFO14" s="104"/>
      <c r="AFP14" s="104"/>
      <c r="AFQ14" s="104"/>
      <c r="AFR14" s="200" t="s">
        <v>33</v>
      </c>
      <c r="AFS14" s="200"/>
      <c r="AFT14" s="200"/>
      <c r="AFU14" s="200"/>
      <c r="AFV14" s="104"/>
      <c r="AFW14" s="104"/>
      <c r="AFX14" s="201" t="s">
        <v>21</v>
      </c>
      <c r="AFY14" s="201"/>
      <c r="AFZ14" s="201"/>
      <c r="AGA14" s="201"/>
      <c r="AGB14" s="129"/>
      <c r="AGC14" s="129"/>
      <c r="AGD14" s="200" t="s">
        <v>34</v>
      </c>
      <c r="AGE14" s="200"/>
      <c r="AGF14" s="200"/>
      <c r="AGG14" s="200"/>
      <c r="AGH14" s="104"/>
      <c r="AGI14" s="104"/>
      <c r="AGJ14" s="201" t="s">
        <v>22</v>
      </c>
      <c r="AGK14" s="201"/>
      <c r="AGL14" s="201"/>
      <c r="AGM14" s="201"/>
      <c r="AGN14" s="129"/>
      <c r="AGO14" s="129"/>
      <c r="AGP14" s="200" t="s">
        <v>35</v>
      </c>
      <c r="AGQ14" s="200"/>
      <c r="AGR14" s="200"/>
      <c r="AGS14" s="200"/>
      <c r="AGT14" s="104"/>
      <c r="AGU14" s="104"/>
      <c r="AGV14" s="201" t="s">
        <v>23</v>
      </c>
      <c r="AGW14" s="201"/>
      <c r="AGX14" s="201"/>
      <c r="AGY14" s="201"/>
      <c r="AGZ14" s="129"/>
      <c r="AHA14" s="129"/>
      <c r="AHB14" s="200" t="s">
        <v>36</v>
      </c>
      <c r="AHC14" s="200"/>
      <c r="AHD14" s="200"/>
      <c r="AHE14" s="200"/>
      <c r="AHF14" s="104"/>
      <c r="AHG14" s="104"/>
      <c r="AHH14" s="201" t="s">
        <v>24</v>
      </c>
      <c r="AHI14" s="201"/>
      <c r="AHJ14" s="201"/>
      <c r="AHK14" s="201"/>
      <c r="AHL14" s="129"/>
      <c r="AHM14" s="129"/>
      <c r="AHN14" s="200" t="s">
        <v>37</v>
      </c>
      <c r="AHO14" s="200"/>
      <c r="AHP14" s="200"/>
      <c r="AHQ14" s="200"/>
      <c r="AHR14" s="104"/>
      <c r="AHS14" s="104"/>
      <c r="AHT14" s="104"/>
      <c r="AHU14" s="105"/>
      <c r="AHV14" s="103"/>
      <c r="AHW14" s="104"/>
      <c r="AHX14" s="104"/>
      <c r="AHY14" s="104"/>
      <c r="AHZ14" s="200" t="s">
        <v>33</v>
      </c>
      <c r="AIA14" s="200"/>
      <c r="AIB14" s="200"/>
      <c r="AIC14" s="200"/>
      <c r="AID14" s="104"/>
      <c r="AIE14" s="104"/>
      <c r="AIF14" s="201" t="s">
        <v>21</v>
      </c>
      <c r="AIG14" s="201"/>
      <c r="AIH14" s="201"/>
      <c r="AII14" s="201"/>
      <c r="AIJ14" s="129"/>
      <c r="AIK14" s="129"/>
      <c r="AIL14" s="200" t="s">
        <v>34</v>
      </c>
      <c r="AIM14" s="200"/>
      <c r="AIN14" s="200"/>
      <c r="AIO14" s="200"/>
      <c r="AIP14" s="104"/>
      <c r="AIQ14" s="104"/>
      <c r="AIR14" s="201" t="s">
        <v>22</v>
      </c>
      <c r="AIS14" s="201"/>
      <c r="AIT14" s="201"/>
      <c r="AIU14" s="201"/>
      <c r="AIV14" s="129"/>
      <c r="AIW14" s="129"/>
      <c r="AIX14" s="200" t="s">
        <v>35</v>
      </c>
      <c r="AIY14" s="200"/>
      <c r="AIZ14" s="200"/>
      <c r="AJA14" s="200"/>
      <c r="AJB14" s="104"/>
      <c r="AJC14" s="104"/>
      <c r="AJD14" s="201" t="s">
        <v>23</v>
      </c>
      <c r="AJE14" s="201"/>
      <c r="AJF14" s="201"/>
      <c r="AJG14" s="201"/>
      <c r="AJH14" s="129"/>
      <c r="AJI14" s="129"/>
      <c r="AJJ14" s="200" t="s">
        <v>36</v>
      </c>
      <c r="AJK14" s="200"/>
      <c r="AJL14" s="200"/>
      <c r="AJM14" s="200"/>
      <c r="AJN14" s="104"/>
      <c r="AJO14" s="104"/>
      <c r="AJP14" s="201" t="s">
        <v>24</v>
      </c>
      <c r="AJQ14" s="201"/>
      <c r="AJR14" s="201"/>
      <c r="AJS14" s="201"/>
      <c r="AJT14" s="129"/>
      <c r="AJU14" s="129"/>
      <c r="AJV14" s="200" t="s">
        <v>37</v>
      </c>
      <c r="AJW14" s="200"/>
      <c r="AJX14" s="200"/>
      <c r="AJY14" s="200"/>
      <c r="AJZ14" s="104"/>
      <c r="AKA14" s="104"/>
      <c r="AKB14" s="104"/>
      <c r="AKC14" s="105"/>
      <c r="AKD14" s="103"/>
      <c r="AKE14" s="104"/>
      <c r="AKF14" s="104"/>
      <c r="AKG14" s="104"/>
      <c r="AKH14" s="200" t="s">
        <v>33</v>
      </c>
      <c r="AKI14" s="200"/>
      <c r="AKJ14" s="200"/>
      <c r="AKK14" s="200"/>
      <c r="AKL14" s="104"/>
      <c r="AKM14" s="104"/>
      <c r="AKN14" s="201" t="s">
        <v>21</v>
      </c>
      <c r="AKO14" s="201"/>
      <c r="AKP14" s="201"/>
      <c r="AKQ14" s="201"/>
      <c r="AKR14" s="129"/>
      <c r="AKS14" s="129"/>
      <c r="AKT14" s="200" t="s">
        <v>34</v>
      </c>
      <c r="AKU14" s="200"/>
      <c r="AKV14" s="200"/>
      <c r="AKW14" s="200"/>
      <c r="AKX14" s="104"/>
      <c r="AKY14" s="104"/>
      <c r="AKZ14" s="201" t="s">
        <v>22</v>
      </c>
      <c r="ALA14" s="201"/>
      <c r="ALB14" s="201"/>
      <c r="ALC14" s="201"/>
      <c r="ALD14" s="129"/>
      <c r="ALE14" s="129"/>
      <c r="ALF14" s="200" t="s">
        <v>35</v>
      </c>
      <c r="ALG14" s="200"/>
      <c r="ALH14" s="200"/>
      <c r="ALI14" s="200"/>
      <c r="ALJ14" s="104"/>
      <c r="ALK14" s="104"/>
      <c r="ALL14" s="201" t="s">
        <v>23</v>
      </c>
      <c r="ALM14" s="201"/>
      <c r="ALN14" s="201"/>
      <c r="ALO14" s="201"/>
      <c r="ALP14" s="129"/>
      <c r="ALQ14" s="129"/>
      <c r="ALR14" s="200" t="s">
        <v>36</v>
      </c>
      <c r="ALS14" s="200"/>
      <c r="ALT14" s="200"/>
      <c r="ALU14" s="200"/>
      <c r="ALV14" s="104"/>
      <c r="ALW14" s="104"/>
      <c r="ALX14" s="201" t="s">
        <v>24</v>
      </c>
      <c r="ALY14" s="201"/>
      <c r="ALZ14" s="201"/>
      <c r="AMA14" s="201"/>
      <c r="AMB14" s="129"/>
      <c r="AMC14" s="129"/>
      <c r="AMD14" s="200" t="s">
        <v>37</v>
      </c>
      <c r="AME14" s="200"/>
      <c r="AMF14" s="200"/>
      <c r="AMG14" s="200"/>
      <c r="AMH14" s="104"/>
      <c r="AMI14" s="104"/>
      <c r="AMJ14" s="104"/>
      <c r="AMK14" s="105"/>
      <c r="AML14" s="103"/>
      <c r="AMM14" s="104"/>
      <c r="AMN14" s="104"/>
      <c r="AMO14" s="104"/>
      <c r="AMP14" s="200" t="s">
        <v>33</v>
      </c>
      <c r="AMQ14" s="200"/>
      <c r="AMR14" s="200"/>
      <c r="AMS14" s="200"/>
      <c r="AMT14" s="104"/>
      <c r="AMU14" s="104"/>
      <c r="AMV14" s="201" t="s">
        <v>21</v>
      </c>
      <c r="AMW14" s="201"/>
      <c r="AMX14" s="201"/>
      <c r="AMY14" s="201"/>
      <c r="AMZ14" s="129"/>
      <c r="ANA14" s="129"/>
      <c r="ANB14" s="200" t="s">
        <v>34</v>
      </c>
      <c r="ANC14" s="200"/>
      <c r="AND14" s="200"/>
      <c r="ANE14" s="200"/>
      <c r="ANF14" s="104"/>
      <c r="ANG14" s="104"/>
      <c r="ANH14" s="201" t="s">
        <v>22</v>
      </c>
      <c r="ANI14" s="201"/>
      <c r="ANJ14" s="201"/>
      <c r="ANK14" s="201"/>
      <c r="ANL14" s="129"/>
      <c r="ANM14" s="129"/>
      <c r="ANN14" s="200" t="s">
        <v>35</v>
      </c>
      <c r="ANO14" s="200"/>
      <c r="ANP14" s="200"/>
      <c r="ANQ14" s="200"/>
      <c r="ANR14" s="104"/>
      <c r="ANS14" s="104"/>
      <c r="ANT14" s="201" t="s">
        <v>23</v>
      </c>
      <c r="ANU14" s="201"/>
      <c r="ANV14" s="201"/>
      <c r="ANW14" s="201"/>
      <c r="ANX14" s="129"/>
      <c r="ANY14" s="129"/>
      <c r="ANZ14" s="200" t="s">
        <v>36</v>
      </c>
      <c r="AOA14" s="200"/>
      <c r="AOB14" s="200"/>
      <c r="AOC14" s="200"/>
      <c r="AOD14" s="104"/>
      <c r="AOE14" s="104"/>
      <c r="AOF14" s="201" t="s">
        <v>24</v>
      </c>
      <c r="AOG14" s="201"/>
      <c r="AOH14" s="201"/>
      <c r="AOI14" s="201"/>
      <c r="AOJ14" s="129"/>
      <c r="AOK14" s="129"/>
      <c r="AOL14" s="200" t="s">
        <v>37</v>
      </c>
      <c r="AOM14" s="200"/>
      <c r="AON14" s="200"/>
      <c r="AOO14" s="200"/>
      <c r="AOP14" s="104"/>
      <c r="AOQ14" s="104"/>
      <c r="AOR14" s="104"/>
      <c r="AOS14" s="105"/>
      <c r="AOT14" s="103"/>
      <c r="AOU14" s="104"/>
      <c r="AOV14" s="104"/>
      <c r="AOW14" s="104"/>
      <c r="AOX14" s="200" t="s">
        <v>33</v>
      </c>
      <c r="AOY14" s="200"/>
      <c r="AOZ14" s="200"/>
      <c r="APA14" s="200"/>
      <c r="APB14" s="104"/>
      <c r="APC14" s="104"/>
      <c r="APD14" s="201" t="s">
        <v>21</v>
      </c>
      <c r="APE14" s="201"/>
      <c r="APF14" s="201"/>
      <c r="APG14" s="201"/>
      <c r="APH14" s="129"/>
      <c r="API14" s="129"/>
      <c r="APJ14" s="200" t="s">
        <v>34</v>
      </c>
      <c r="APK14" s="200"/>
      <c r="APL14" s="200"/>
      <c r="APM14" s="200"/>
      <c r="APN14" s="104"/>
      <c r="APO14" s="104"/>
      <c r="APP14" s="201" t="s">
        <v>22</v>
      </c>
      <c r="APQ14" s="201"/>
      <c r="APR14" s="201"/>
      <c r="APS14" s="201"/>
      <c r="APT14" s="129"/>
      <c r="APU14" s="129"/>
      <c r="APV14" s="200" t="s">
        <v>35</v>
      </c>
      <c r="APW14" s="200"/>
      <c r="APX14" s="200"/>
      <c r="APY14" s="200"/>
      <c r="APZ14" s="104"/>
      <c r="AQA14" s="104"/>
      <c r="AQB14" s="201" t="s">
        <v>23</v>
      </c>
      <c r="AQC14" s="201"/>
      <c r="AQD14" s="201"/>
      <c r="AQE14" s="201"/>
      <c r="AQF14" s="129"/>
      <c r="AQG14" s="129"/>
      <c r="AQH14" s="200" t="s">
        <v>36</v>
      </c>
      <c r="AQI14" s="200"/>
      <c r="AQJ14" s="200"/>
      <c r="AQK14" s="200"/>
      <c r="AQL14" s="104"/>
      <c r="AQM14" s="104"/>
      <c r="AQN14" s="201" t="s">
        <v>24</v>
      </c>
      <c r="AQO14" s="201"/>
      <c r="AQP14" s="201"/>
      <c r="AQQ14" s="201"/>
      <c r="AQR14" s="129"/>
      <c r="AQS14" s="129"/>
      <c r="AQT14" s="200" t="s">
        <v>37</v>
      </c>
      <c r="AQU14" s="200"/>
      <c r="AQV14" s="200"/>
      <c r="AQW14" s="200"/>
      <c r="AQX14" s="104"/>
      <c r="AQY14" s="104"/>
      <c r="AQZ14" s="104"/>
      <c r="ARA14" s="105"/>
      <c r="ARB14" s="103"/>
      <c r="ARC14" s="104"/>
      <c r="ARD14" s="104"/>
      <c r="ARE14" s="104"/>
      <c r="ARF14" s="200" t="s">
        <v>33</v>
      </c>
      <c r="ARG14" s="200"/>
      <c r="ARH14" s="200"/>
      <c r="ARI14" s="200"/>
      <c r="ARJ14" s="104"/>
      <c r="ARK14" s="104"/>
      <c r="ARL14" s="201" t="s">
        <v>21</v>
      </c>
      <c r="ARM14" s="201"/>
      <c r="ARN14" s="201"/>
      <c r="ARO14" s="201"/>
      <c r="ARP14" s="129"/>
      <c r="ARQ14" s="129"/>
      <c r="ARR14" s="200" t="s">
        <v>34</v>
      </c>
      <c r="ARS14" s="200"/>
      <c r="ART14" s="200"/>
      <c r="ARU14" s="200"/>
      <c r="ARV14" s="104"/>
      <c r="ARW14" s="104"/>
      <c r="ARX14" s="201" t="s">
        <v>22</v>
      </c>
      <c r="ARY14" s="201"/>
      <c r="ARZ14" s="201"/>
      <c r="ASA14" s="201"/>
      <c r="ASB14" s="129"/>
      <c r="ASC14" s="129"/>
      <c r="ASD14" s="200" t="s">
        <v>35</v>
      </c>
      <c r="ASE14" s="200"/>
      <c r="ASF14" s="200"/>
      <c r="ASG14" s="200"/>
      <c r="ASH14" s="104"/>
      <c r="ASI14" s="104"/>
      <c r="ASJ14" s="201" t="s">
        <v>23</v>
      </c>
      <c r="ASK14" s="201"/>
      <c r="ASL14" s="201"/>
      <c r="ASM14" s="201"/>
      <c r="ASN14" s="129"/>
      <c r="ASO14" s="129"/>
      <c r="ASP14" s="200" t="s">
        <v>36</v>
      </c>
      <c r="ASQ14" s="200"/>
      <c r="ASR14" s="200"/>
      <c r="ASS14" s="200"/>
      <c r="AST14" s="104"/>
      <c r="ASU14" s="104"/>
      <c r="ASV14" s="201" t="s">
        <v>24</v>
      </c>
      <c r="ASW14" s="201"/>
      <c r="ASX14" s="201"/>
      <c r="ASY14" s="201"/>
      <c r="ASZ14" s="129"/>
      <c r="ATA14" s="129"/>
      <c r="ATB14" s="200" t="s">
        <v>37</v>
      </c>
      <c r="ATC14" s="200"/>
      <c r="ATD14" s="200"/>
      <c r="ATE14" s="200"/>
      <c r="ATF14" s="104"/>
      <c r="ATG14" s="104"/>
      <c r="ATH14" s="104"/>
      <c r="ATI14" s="105"/>
      <c r="ATJ14" s="103"/>
      <c r="ATK14" s="104"/>
      <c r="ATL14" s="104"/>
      <c r="ATM14" s="104"/>
      <c r="ATN14" s="200" t="s">
        <v>33</v>
      </c>
      <c r="ATO14" s="200"/>
      <c r="ATP14" s="200"/>
      <c r="ATQ14" s="200"/>
      <c r="ATR14" s="104"/>
      <c r="ATS14" s="104"/>
      <c r="ATT14" s="201" t="s">
        <v>21</v>
      </c>
      <c r="ATU14" s="201"/>
      <c r="ATV14" s="201"/>
      <c r="ATW14" s="201"/>
      <c r="ATX14" s="129"/>
      <c r="ATY14" s="129"/>
      <c r="ATZ14" s="200" t="s">
        <v>34</v>
      </c>
      <c r="AUA14" s="200"/>
      <c r="AUB14" s="200"/>
      <c r="AUC14" s="200"/>
      <c r="AUD14" s="104"/>
      <c r="AUE14" s="104"/>
      <c r="AUF14" s="201" t="s">
        <v>22</v>
      </c>
      <c r="AUG14" s="201"/>
      <c r="AUH14" s="201"/>
      <c r="AUI14" s="201"/>
      <c r="AUJ14" s="129"/>
      <c r="AUK14" s="129"/>
      <c r="AUL14" s="200" t="s">
        <v>35</v>
      </c>
      <c r="AUM14" s="200"/>
      <c r="AUN14" s="200"/>
      <c r="AUO14" s="200"/>
      <c r="AUP14" s="104"/>
      <c r="AUQ14" s="104"/>
      <c r="AUR14" s="201" t="s">
        <v>23</v>
      </c>
      <c r="AUS14" s="201"/>
      <c r="AUT14" s="201"/>
      <c r="AUU14" s="201"/>
      <c r="AUV14" s="129"/>
      <c r="AUW14" s="129"/>
      <c r="AUX14" s="200" t="s">
        <v>36</v>
      </c>
      <c r="AUY14" s="200"/>
      <c r="AUZ14" s="200"/>
      <c r="AVA14" s="200"/>
      <c r="AVB14" s="104"/>
      <c r="AVC14" s="104"/>
      <c r="AVD14" s="201" t="s">
        <v>24</v>
      </c>
      <c r="AVE14" s="201"/>
      <c r="AVF14" s="201"/>
      <c r="AVG14" s="201"/>
      <c r="AVH14" s="129"/>
      <c r="AVI14" s="129"/>
      <c r="AVJ14" s="200" t="s">
        <v>37</v>
      </c>
      <c r="AVK14" s="200"/>
      <c r="AVL14" s="200"/>
      <c r="AVM14" s="200"/>
      <c r="AVN14" s="104"/>
      <c r="AVO14" s="104"/>
      <c r="AVP14" s="104"/>
      <c r="AVQ14" s="105"/>
      <c r="AVR14" s="103"/>
      <c r="AVS14" s="104"/>
      <c r="AVT14" s="104"/>
      <c r="AVU14" s="104"/>
      <c r="AVV14" s="200" t="s">
        <v>33</v>
      </c>
      <c r="AVW14" s="200"/>
      <c r="AVX14" s="200"/>
      <c r="AVY14" s="200"/>
      <c r="AVZ14" s="104"/>
      <c r="AWA14" s="104"/>
      <c r="AWB14" s="201" t="s">
        <v>21</v>
      </c>
      <c r="AWC14" s="201"/>
      <c r="AWD14" s="201"/>
      <c r="AWE14" s="201"/>
      <c r="AWF14" s="129"/>
      <c r="AWG14" s="129"/>
      <c r="AWH14" s="200" t="s">
        <v>34</v>
      </c>
      <c r="AWI14" s="200"/>
      <c r="AWJ14" s="200"/>
      <c r="AWK14" s="200"/>
      <c r="AWL14" s="104"/>
      <c r="AWM14" s="104"/>
      <c r="AWN14" s="201" t="s">
        <v>22</v>
      </c>
      <c r="AWO14" s="201"/>
      <c r="AWP14" s="201"/>
      <c r="AWQ14" s="201"/>
      <c r="AWR14" s="129"/>
      <c r="AWS14" s="129"/>
      <c r="AWT14" s="200" t="s">
        <v>35</v>
      </c>
      <c r="AWU14" s="200"/>
      <c r="AWV14" s="200"/>
      <c r="AWW14" s="200"/>
      <c r="AWX14" s="104"/>
      <c r="AWY14" s="104"/>
      <c r="AWZ14" s="201" t="s">
        <v>23</v>
      </c>
      <c r="AXA14" s="201"/>
      <c r="AXB14" s="201"/>
      <c r="AXC14" s="201"/>
      <c r="AXD14" s="129"/>
      <c r="AXE14" s="129"/>
      <c r="AXF14" s="200" t="s">
        <v>36</v>
      </c>
      <c r="AXG14" s="200"/>
      <c r="AXH14" s="200"/>
      <c r="AXI14" s="200"/>
      <c r="AXJ14" s="104"/>
      <c r="AXK14" s="104"/>
      <c r="AXL14" s="201" t="s">
        <v>24</v>
      </c>
      <c r="AXM14" s="201"/>
      <c r="AXN14" s="201"/>
      <c r="AXO14" s="201"/>
      <c r="AXP14" s="129"/>
      <c r="AXQ14" s="129"/>
      <c r="AXR14" s="200" t="s">
        <v>37</v>
      </c>
      <c r="AXS14" s="200"/>
      <c r="AXT14" s="200"/>
      <c r="AXU14" s="200"/>
      <c r="AXV14" s="104"/>
      <c r="AXW14" s="104"/>
      <c r="AXX14" s="104"/>
      <c r="AXY14" s="105"/>
      <c r="AXZ14" s="103"/>
      <c r="AYA14" s="104"/>
      <c r="AYB14" s="104"/>
      <c r="AYC14" s="104"/>
      <c r="AYD14" s="200" t="s">
        <v>33</v>
      </c>
      <c r="AYE14" s="200"/>
      <c r="AYF14" s="200"/>
      <c r="AYG14" s="200"/>
      <c r="AYH14" s="104"/>
      <c r="AYI14" s="104"/>
      <c r="AYJ14" s="201" t="s">
        <v>21</v>
      </c>
      <c r="AYK14" s="201"/>
      <c r="AYL14" s="201"/>
      <c r="AYM14" s="201"/>
      <c r="AYN14" s="129"/>
      <c r="AYO14" s="129"/>
      <c r="AYP14" s="200" t="s">
        <v>34</v>
      </c>
      <c r="AYQ14" s="200"/>
      <c r="AYR14" s="200"/>
      <c r="AYS14" s="200"/>
      <c r="AYT14" s="104"/>
      <c r="AYU14" s="104"/>
      <c r="AYV14" s="201" t="s">
        <v>22</v>
      </c>
      <c r="AYW14" s="201"/>
      <c r="AYX14" s="201"/>
      <c r="AYY14" s="201"/>
      <c r="AYZ14" s="129"/>
      <c r="AZA14" s="129"/>
      <c r="AZB14" s="200" t="s">
        <v>35</v>
      </c>
      <c r="AZC14" s="200"/>
      <c r="AZD14" s="200"/>
      <c r="AZE14" s="200"/>
      <c r="AZF14" s="104"/>
      <c r="AZG14" s="104"/>
      <c r="AZH14" s="201" t="s">
        <v>23</v>
      </c>
      <c r="AZI14" s="201"/>
      <c r="AZJ14" s="201"/>
      <c r="AZK14" s="201"/>
      <c r="AZL14" s="129"/>
      <c r="AZM14" s="129"/>
      <c r="AZN14" s="200" t="s">
        <v>36</v>
      </c>
      <c r="AZO14" s="200"/>
      <c r="AZP14" s="200"/>
      <c r="AZQ14" s="200"/>
      <c r="AZR14" s="104"/>
      <c r="AZS14" s="104"/>
      <c r="AZT14" s="201" t="s">
        <v>24</v>
      </c>
      <c r="AZU14" s="201"/>
      <c r="AZV14" s="201"/>
      <c r="AZW14" s="201"/>
      <c r="AZX14" s="129"/>
      <c r="AZY14" s="129"/>
      <c r="AZZ14" s="200" t="s">
        <v>37</v>
      </c>
      <c r="BAA14" s="200"/>
      <c r="BAB14" s="200"/>
      <c r="BAC14" s="200"/>
      <c r="BAD14" s="104"/>
      <c r="BAE14" s="104"/>
      <c r="BAF14" s="104"/>
      <c r="BAG14" s="105"/>
      <c r="BAH14" s="103"/>
      <c r="BAI14" s="104"/>
      <c r="BAJ14" s="104"/>
      <c r="BAK14" s="104"/>
      <c r="BAL14" s="200" t="s">
        <v>33</v>
      </c>
      <c r="BAM14" s="200"/>
      <c r="BAN14" s="200"/>
      <c r="BAO14" s="200"/>
      <c r="BAP14" s="104"/>
      <c r="BAQ14" s="104"/>
      <c r="BAR14" s="201" t="s">
        <v>21</v>
      </c>
      <c r="BAS14" s="201"/>
      <c r="BAT14" s="201"/>
      <c r="BAU14" s="201"/>
      <c r="BAV14" s="129"/>
      <c r="BAW14" s="129"/>
      <c r="BAX14" s="200" t="s">
        <v>34</v>
      </c>
      <c r="BAY14" s="200"/>
      <c r="BAZ14" s="200"/>
      <c r="BBA14" s="200"/>
      <c r="BBB14" s="104"/>
      <c r="BBC14" s="104"/>
      <c r="BBD14" s="201" t="s">
        <v>22</v>
      </c>
      <c r="BBE14" s="201"/>
      <c r="BBF14" s="201"/>
      <c r="BBG14" s="201"/>
      <c r="BBH14" s="129"/>
      <c r="BBI14" s="129"/>
      <c r="BBJ14" s="200" t="s">
        <v>35</v>
      </c>
      <c r="BBK14" s="200"/>
      <c r="BBL14" s="200"/>
      <c r="BBM14" s="200"/>
      <c r="BBN14" s="104"/>
      <c r="BBO14" s="104"/>
      <c r="BBP14" s="201" t="s">
        <v>23</v>
      </c>
      <c r="BBQ14" s="201"/>
      <c r="BBR14" s="201"/>
      <c r="BBS14" s="201"/>
      <c r="BBT14" s="129"/>
      <c r="BBU14" s="129"/>
      <c r="BBV14" s="200" t="s">
        <v>36</v>
      </c>
      <c r="BBW14" s="200"/>
      <c r="BBX14" s="200"/>
      <c r="BBY14" s="200"/>
      <c r="BBZ14" s="104"/>
      <c r="BCA14" s="104"/>
      <c r="BCB14" s="201" t="s">
        <v>24</v>
      </c>
      <c r="BCC14" s="201"/>
      <c r="BCD14" s="201"/>
      <c r="BCE14" s="201"/>
      <c r="BCF14" s="129"/>
      <c r="BCG14" s="129"/>
      <c r="BCH14" s="200" t="s">
        <v>37</v>
      </c>
      <c r="BCI14" s="200"/>
      <c r="BCJ14" s="200"/>
      <c r="BCK14" s="200"/>
      <c r="BCL14" s="104"/>
      <c r="BCM14" s="104"/>
      <c r="BCN14" s="104"/>
      <c r="BCO14" s="105"/>
      <c r="BCP14" s="103"/>
      <c r="BCQ14" s="104"/>
      <c r="BCR14" s="104"/>
      <c r="BCS14" s="104"/>
      <c r="BCT14" s="200" t="s">
        <v>33</v>
      </c>
      <c r="BCU14" s="200"/>
      <c r="BCV14" s="200"/>
      <c r="BCW14" s="200"/>
      <c r="BCX14" s="104"/>
      <c r="BCY14" s="104"/>
      <c r="BCZ14" s="201" t="s">
        <v>21</v>
      </c>
      <c r="BDA14" s="201"/>
      <c r="BDB14" s="201"/>
      <c r="BDC14" s="201"/>
      <c r="BDD14" s="129"/>
      <c r="BDE14" s="129"/>
      <c r="BDF14" s="200" t="s">
        <v>34</v>
      </c>
      <c r="BDG14" s="200"/>
      <c r="BDH14" s="200"/>
      <c r="BDI14" s="200"/>
      <c r="BDJ14" s="104"/>
      <c r="BDK14" s="104"/>
      <c r="BDL14" s="201" t="s">
        <v>22</v>
      </c>
      <c r="BDM14" s="201"/>
      <c r="BDN14" s="201"/>
      <c r="BDO14" s="201"/>
      <c r="BDP14" s="129"/>
      <c r="BDQ14" s="129"/>
      <c r="BDR14" s="200" t="s">
        <v>35</v>
      </c>
      <c r="BDS14" s="200"/>
      <c r="BDT14" s="200"/>
      <c r="BDU14" s="200"/>
      <c r="BDV14" s="104"/>
      <c r="BDW14" s="104"/>
      <c r="BDX14" s="201" t="s">
        <v>23</v>
      </c>
      <c r="BDY14" s="201"/>
      <c r="BDZ14" s="201"/>
      <c r="BEA14" s="201"/>
      <c r="BEB14" s="129"/>
      <c r="BEC14" s="129"/>
      <c r="BED14" s="200" t="s">
        <v>36</v>
      </c>
      <c r="BEE14" s="200"/>
      <c r="BEF14" s="200"/>
      <c r="BEG14" s="200"/>
      <c r="BEH14" s="104"/>
      <c r="BEI14" s="104"/>
      <c r="BEJ14" s="201" t="s">
        <v>24</v>
      </c>
      <c r="BEK14" s="201"/>
      <c r="BEL14" s="201"/>
      <c r="BEM14" s="201"/>
      <c r="BEN14" s="129"/>
      <c r="BEO14" s="129"/>
      <c r="BEP14" s="200" t="s">
        <v>37</v>
      </c>
      <c r="BEQ14" s="200"/>
      <c r="BER14" s="200"/>
      <c r="BES14" s="200"/>
      <c r="BET14" s="104"/>
      <c r="BEU14" s="104"/>
      <c r="BEV14" s="104"/>
      <c r="BEW14" s="105"/>
      <c r="BEX14" s="103"/>
      <c r="BEY14" s="104"/>
      <c r="BEZ14" s="104"/>
      <c r="BFA14" s="104"/>
      <c r="BFB14" s="200" t="s">
        <v>33</v>
      </c>
      <c r="BFC14" s="200"/>
      <c r="BFD14" s="200"/>
      <c r="BFE14" s="200"/>
      <c r="BFF14" s="104"/>
      <c r="BFG14" s="104"/>
      <c r="BFH14" s="201" t="s">
        <v>21</v>
      </c>
      <c r="BFI14" s="201"/>
      <c r="BFJ14" s="201"/>
      <c r="BFK14" s="201"/>
      <c r="BFL14" s="129"/>
      <c r="BFM14" s="129"/>
      <c r="BFN14" s="200" t="s">
        <v>34</v>
      </c>
      <c r="BFO14" s="200"/>
      <c r="BFP14" s="200"/>
      <c r="BFQ14" s="200"/>
      <c r="BFR14" s="104"/>
      <c r="BFS14" s="104"/>
      <c r="BFT14" s="201" t="s">
        <v>22</v>
      </c>
      <c r="BFU14" s="201"/>
      <c r="BFV14" s="201"/>
      <c r="BFW14" s="201"/>
      <c r="BFX14" s="129"/>
      <c r="BFY14" s="129"/>
      <c r="BFZ14" s="200" t="s">
        <v>35</v>
      </c>
      <c r="BGA14" s="200"/>
      <c r="BGB14" s="200"/>
      <c r="BGC14" s="200"/>
      <c r="BGD14" s="104"/>
      <c r="BGE14" s="104"/>
      <c r="BGF14" s="201" t="s">
        <v>23</v>
      </c>
      <c r="BGG14" s="201"/>
      <c r="BGH14" s="201"/>
      <c r="BGI14" s="201"/>
      <c r="BGJ14" s="129"/>
      <c r="BGK14" s="129"/>
      <c r="BGL14" s="200" t="s">
        <v>36</v>
      </c>
      <c r="BGM14" s="200"/>
      <c r="BGN14" s="200"/>
      <c r="BGO14" s="200"/>
      <c r="BGP14" s="104"/>
      <c r="BGQ14" s="104"/>
      <c r="BGR14" s="201" t="s">
        <v>24</v>
      </c>
      <c r="BGS14" s="201"/>
      <c r="BGT14" s="201"/>
      <c r="BGU14" s="201"/>
      <c r="BGV14" s="129"/>
      <c r="BGW14" s="129"/>
      <c r="BGX14" s="200" t="s">
        <v>37</v>
      </c>
      <c r="BGY14" s="200"/>
      <c r="BGZ14" s="200"/>
      <c r="BHA14" s="200"/>
      <c r="BHB14" s="104"/>
      <c r="BHC14" s="104"/>
      <c r="BHD14" s="104"/>
      <c r="BHE14" s="105"/>
      <c r="BHF14" s="103"/>
      <c r="BHG14" s="104"/>
      <c r="BHH14" s="104"/>
      <c r="BHI14" s="104"/>
      <c r="BHJ14" s="200" t="s">
        <v>33</v>
      </c>
      <c r="BHK14" s="200"/>
      <c r="BHL14" s="200"/>
      <c r="BHM14" s="200"/>
      <c r="BHN14" s="104"/>
      <c r="BHO14" s="104"/>
      <c r="BHP14" s="201" t="s">
        <v>21</v>
      </c>
      <c r="BHQ14" s="201"/>
      <c r="BHR14" s="201"/>
      <c r="BHS14" s="201"/>
      <c r="BHT14" s="129"/>
      <c r="BHU14" s="129"/>
      <c r="BHV14" s="200" t="s">
        <v>34</v>
      </c>
      <c r="BHW14" s="200"/>
      <c r="BHX14" s="200"/>
      <c r="BHY14" s="200"/>
      <c r="BHZ14" s="104"/>
      <c r="BIA14" s="104"/>
      <c r="BIB14" s="201" t="s">
        <v>22</v>
      </c>
      <c r="BIC14" s="201"/>
      <c r="BID14" s="201"/>
      <c r="BIE14" s="201"/>
      <c r="BIF14" s="129"/>
      <c r="BIG14" s="129"/>
      <c r="BIH14" s="200" t="s">
        <v>35</v>
      </c>
      <c r="BII14" s="200"/>
      <c r="BIJ14" s="200"/>
      <c r="BIK14" s="200"/>
      <c r="BIL14" s="104"/>
      <c r="BIM14" s="104"/>
      <c r="BIN14" s="201" t="s">
        <v>23</v>
      </c>
      <c r="BIO14" s="201"/>
      <c r="BIP14" s="201"/>
      <c r="BIQ14" s="201"/>
      <c r="BIR14" s="129"/>
      <c r="BIS14" s="129"/>
      <c r="BIT14" s="200" t="s">
        <v>36</v>
      </c>
      <c r="BIU14" s="200"/>
      <c r="BIV14" s="200"/>
      <c r="BIW14" s="200"/>
      <c r="BIX14" s="104"/>
      <c r="BIY14" s="104"/>
      <c r="BIZ14" s="201" t="s">
        <v>24</v>
      </c>
      <c r="BJA14" s="201"/>
      <c r="BJB14" s="201"/>
      <c r="BJC14" s="201"/>
      <c r="BJD14" s="129"/>
      <c r="BJE14" s="129"/>
      <c r="BJF14" s="200" t="s">
        <v>37</v>
      </c>
      <c r="BJG14" s="200"/>
      <c r="BJH14" s="200"/>
      <c r="BJI14" s="200"/>
      <c r="BJJ14" s="104"/>
      <c r="BJK14" s="104"/>
      <c r="BJL14" s="104"/>
      <c r="BJM14" s="105"/>
      <c r="BJN14" s="103"/>
      <c r="BJO14" s="104"/>
      <c r="BJP14" s="104"/>
      <c r="BJQ14" s="104"/>
      <c r="BJR14" s="200" t="s">
        <v>33</v>
      </c>
      <c r="BJS14" s="200"/>
      <c r="BJT14" s="200"/>
      <c r="BJU14" s="200"/>
      <c r="BJV14" s="104"/>
      <c r="BJW14" s="104"/>
      <c r="BJX14" s="201" t="s">
        <v>21</v>
      </c>
      <c r="BJY14" s="201"/>
      <c r="BJZ14" s="201"/>
      <c r="BKA14" s="201"/>
      <c r="BKB14" s="129"/>
      <c r="BKC14" s="129"/>
      <c r="BKD14" s="200" t="s">
        <v>34</v>
      </c>
      <c r="BKE14" s="200"/>
      <c r="BKF14" s="200"/>
      <c r="BKG14" s="200"/>
      <c r="BKH14" s="104"/>
      <c r="BKI14" s="104"/>
      <c r="BKJ14" s="201" t="s">
        <v>22</v>
      </c>
      <c r="BKK14" s="201"/>
      <c r="BKL14" s="201"/>
      <c r="BKM14" s="201"/>
      <c r="BKN14" s="129"/>
      <c r="BKO14" s="129"/>
      <c r="BKP14" s="200" t="s">
        <v>35</v>
      </c>
      <c r="BKQ14" s="200"/>
      <c r="BKR14" s="200"/>
      <c r="BKS14" s="200"/>
      <c r="BKT14" s="104"/>
      <c r="BKU14" s="104"/>
      <c r="BKV14" s="201" t="s">
        <v>23</v>
      </c>
      <c r="BKW14" s="201"/>
      <c r="BKX14" s="201"/>
      <c r="BKY14" s="201"/>
      <c r="BKZ14" s="129"/>
      <c r="BLA14" s="129"/>
      <c r="BLB14" s="200" t="s">
        <v>36</v>
      </c>
      <c r="BLC14" s="200"/>
      <c r="BLD14" s="200"/>
      <c r="BLE14" s="200"/>
      <c r="BLF14" s="104"/>
      <c r="BLG14" s="104"/>
      <c r="BLH14" s="201" t="s">
        <v>24</v>
      </c>
      <c r="BLI14" s="201"/>
      <c r="BLJ14" s="201"/>
      <c r="BLK14" s="201"/>
      <c r="BLL14" s="129"/>
      <c r="BLM14" s="129"/>
      <c r="BLN14" s="200" t="s">
        <v>37</v>
      </c>
      <c r="BLO14" s="200"/>
      <c r="BLP14" s="200"/>
      <c r="BLQ14" s="200"/>
      <c r="BLR14" s="104"/>
      <c r="BLS14" s="104"/>
      <c r="BLT14" s="104"/>
      <c r="BLU14" s="105"/>
      <c r="BLV14" s="90"/>
    </row>
    <row r="15" spans="1:1686" ht="20.100000000000001" customHeight="1" x14ac:dyDescent="0.25">
      <c r="A15" s="100" t="s">
        <v>17</v>
      </c>
      <c r="B15" s="63" t="str">
        <f>IF(LEN(C15)=0,"",C15)</f>
        <v xml:space="preserve">Absences - imprévus </v>
      </c>
      <c r="C15" s="210"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1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10"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1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10"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12"/>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10"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1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10"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1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10"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1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10"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10"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1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10"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1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10"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1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10"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10"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10"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10"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10"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1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10"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1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10"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12"/>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10"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10"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1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10"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1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10"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1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10"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10"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1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1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1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1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1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1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1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1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1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1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1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1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1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1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1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1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1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1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1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1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2" t="s">
        <v>5</v>
      </c>
      <c r="D95" s="203"/>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4"/>
      <c r="D96" s="205"/>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6" t="s">
        <v>6</v>
      </c>
      <c r="D97" s="207"/>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8"/>
      <c r="D98" s="209"/>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4"/>
      <c r="F4" s="235"/>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4"/>
      <c r="F16" s="235"/>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4"/>
      <c r="F28" s="235"/>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4"/>
      <c r="F40" s="235"/>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4"/>
      <c r="F52" s="235"/>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4"/>
      <c r="F64" s="235"/>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4"/>
      <c r="F76" s="235"/>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4"/>
      <c r="F88" s="235"/>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4"/>
      <c r="F100" s="235"/>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4"/>
      <c r="F112" s="235"/>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4"/>
      <c r="F124" s="235"/>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4"/>
      <c r="F136" s="235"/>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4"/>
      <c r="F148" s="235"/>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4"/>
      <c r="F160" s="235"/>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4"/>
      <c r="F172" s="235"/>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4"/>
      <c r="F184" s="235"/>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4"/>
      <c r="F196" s="235"/>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4"/>
      <c r="F208" s="235"/>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4"/>
      <c r="F220" s="235"/>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4"/>
      <c r="F232" s="235"/>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4"/>
      <c r="F244" s="235"/>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4"/>
      <c r="F256" s="235"/>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4"/>
      <c r="F268" s="235"/>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4"/>
      <c r="F280" s="235"/>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4"/>
      <c r="F292" s="235"/>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6"/>
      <c r="F304" s="235"/>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7"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4"/>
      <c r="F328" s="235"/>
      <c r="G328" s="51"/>
    </row>
    <row r="329" spans="1:7" s="52" customFormat="1" x14ac:dyDescent="0.3">
      <c r="A329" s="53" t="s">
        <v>29</v>
      </c>
      <c r="B329" s="54">
        <v>28</v>
      </c>
      <c r="C329" s="153" t="str">
        <f t="shared" ref="C329:C335" si="27" xml:space="preserve"> IF(B329="","",setValueToTime(B329))</f>
        <v>2h20min</v>
      </c>
      <c r="D329" s="55" t="s">
        <v>90</v>
      </c>
      <c r="E329" s="237"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104" activePane="bottomLeft" state="frozen"/>
      <selection pane="bottomLeft" activeCell="A112" sqref="A11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c r="B4" s="49"/>
      <c r="C4" s="152" t="str">
        <f xml:space="preserve"> IF(B4="","",setValueToTime(B4))</f>
        <v/>
      </c>
      <c r="D4" s="50"/>
      <c r="E4" s="234"/>
      <c r="F4" s="235"/>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26</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x14ac:dyDescent="0.3">
      <c r="A16" s="48"/>
      <c r="B16" s="49"/>
      <c r="C16" s="152" t="str">
        <f xml:space="preserve"> IF(B16="","",setValueToTime(B16))</f>
        <v/>
      </c>
      <c r="D16" s="50"/>
      <c r="E16" s="234"/>
      <c r="F16" s="235"/>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26</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x14ac:dyDescent="0.3">
      <c r="A28" s="48"/>
      <c r="B28" s="49"/>
      <c r="C28" s="152" t="str">
        <f xml:space="preserve"> IF(B28="","",setValueToTime(B28))</f>
        <v/>
      </c>
      <c r="D28" s="50"/>
      <c r="E28" s="234"/>
      <c r="F28" s="235"/>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26</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x14ac:dyDescent="0.3">
      <c r="A40" s="48"/>
      <c r="B40" s="49"/>
      <c r="C40" s="152" t="str">
        <f xml:space="preserve"> IF(B40="","",setValueToTime(B40))</f>
        <v/>
      </c>
      <c r="D40" s="50"/>
      <c r="E40" s="234"/>
      <c r="F40" s="235"/>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26</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x14ac:dyDescent="0.3">
      <c r="A52" s="48"/>
      <c r="B52" s="49"/>
      <c r="C52" s="152" t="str">
        <f xml:space="preserve"> IF(B52="","",setValueToTime(B52))</f>
        <v/>
      </c>
      <c r="D52" s="50"/>
      <c r="E52" s="234"/>
      <c r="F52" s="235"/>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26</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x14ac:dyDescent="0.3">
      <c r="A64" s="48"/>
      <c r="B64" s="49"/>
      <c r="C64" s="152" t="str">
        <f xml:space="preserve"> IF(B64="","",setValueToTime(B64))</f>
        <v/>
      </c>
      <c r="D64" s="50"/>
      <c r="E64" s="234"/>
      <c r="F64" s="235"/>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26</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x14ac:dyDescent="0.3">
      <c r="A76" s="48"/>
      <c r="B76" s="49"/>
      <c r="C76" s="152" t="str">
        <f xml:space="preserve"> IF(B76="","",setValueToTime(B76))</f>
        <v/>
      </c>
      <c r="D76" s="50"/>
      <c r="E76" s="234"/>
      <c r="F76" s="235"/>
      <c r="G76" s="51"/>
    </row>
    <row r="77" spans="1:7" s="52" customFormat="1" x14ac:dyDescent="0.3">
      <c r="A77" s="53"/>
      <c r="B77" s="54"/>
      <c r="C77" s="153" t="str">
        <f t="shared" ref="C77:C83" si="6" xml:space="preserve"> IF(B77="","",setValueToTime(B77))</f>
        <v/>
      </c>
      <c r="D77" s="55"/>
      <c r="E77" s="226"/>
      <c r="F77" s="227"/>
      <c r="G77" s="51"/>
    </row>
    <row r="78" spans="1:7" s="52" customFormat="1" x14ac:dyDescent="0.3">
      <c r="A78" s="53"/>
      <c r="B78" s="54"/>
      <c r="C78" s="153" t="str">
        <f t="shared" si="6"/>
        <v/>
      </c>
      <c r="D78" s="55"/>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62" t="s">
        <v>26</v>
      </c>
      <c r="B84" s="83">
        <f>SUM(B76:B83)</f>
        <v>0</v>
      </c>
      <c r="C84" s="162" t="str">
        <f xml:space="preserve"> setValueToTime(B84)</f>
        <v>0h</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x14ac:dyDescent="0.3">
      <c r="A88" s="48"/>
      <c r="B88" s="49"/>
      <c r="C88" s="152" t="str">
        <f xml:space="preserve"> IF(B88="","",setValueToTime(B88))</f>
        <v/>
      </c>
      <c r="D88" s="50"/>
      <c r="E88" s="234"/>
      <c r="F88" s="235"/>
      <c r="G88" s="51"/>
    </row>
    <row r="89" spans="1:7" s="52" customFormat="1" x14ac:dyDescent="0.3">
      <c r="A89" s="53"/>
      <c r="B89" s="54"/>
      <c r="C89" s="153" t="str">
        <f t="shared" ref="C89:C95" si="7" xml:space="preserve"> IF(B89="","",setValueToTime(B89))</f>
        <v/>
      </c>
      <c r="D89" s="55"/>
      <c r="E89" s="226"/>
      <c r="F89" s="227"/>
      <c r="G89" s="51"/>
    </row>
    <row r="90" spans="1:7" s="52" customFormat="1" x14ac:dyDescent="0.3">
      <c r="A90" s="53"/>
      <c r="B90" s="54"/>
      <c r="C90" s="153" t="str">
        <f t="shared" si="7"/>
        <v/>
      </c>
      <c r="D90" s="55"/>
      <c r="E90" s="226"/>
      <c r="F90" s="227"/>
      <c r="G90" s="51"/>
    </row>
    <row r="91" spans="1:7" s="52" customFormat="1" x14ac:dyDescent="0.3">
      <c r="A91" s="53"/>
      <c r="B91" s="54"/>
      <c r="C91" s="153" t="str">
        <f t="shared" si="7"/>
        <v/>
      </c>
      <c r="D91" s="55"/>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62" t="s">
        <v>26</v>
      </c>
      <c r="B96" s="83">
        <f>SUM(B88:B95)</f>
        <v>0</v>
      </c>
      <c r="C96" s="162" t="str">
        <f xml:space="preserve"> setValueToTime(B96)</f>
        <v>0h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c r="B100" s="49"/>
      <c r="C100" s="152" t="str">
        <f xml:space="preserve"> IF(B100="","",setValueToTime(B100))</f>
        <v/>
      </c>
      <c r="D100" s="50"/>
      <c r="E100" s="234"/>
      <c r="F100" s="235"/>
      <c r="G100" s="51"/>
    </row>
    <row r="101" spans="1:7" s="52" customFormat="1" x14ac:dyDescent="0.3">
      <c r="A101" s="53"/>
      <c r="B101" s="54"/>
      <c r="C101" s="153" t="str">
        <f t="shared" ref="C101:C107" si="8" xml:space="preserve"> IF(B101="","",setValueToTime(B101))</f>
        <v/>
      </c>
      <c r="D101" s="55"/>
      <c r="E101" s="226"/>
      <c r="F101" s="227"/>
      <c r="G101" s="51"/>
    </row>
    <row r="102" spans="1:7" s="52" customFormat="1" x14ac:dyDescent="0.3">
      <c r="A102" s="53"/>
      <c r="B102" s="54"/>
      <c r="C102" s="153" t="str">
        <f t="shared" si="8"/>
        <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62" t="s">
        <v>26</v>
      </c>
      <c r="B108" s="83">
        <f>SUM(B100:B107)</f>
        <v>0</v>
      </c>
      <c r="C108" s="162" t="str">
        <f xml:space="preserve"> setValueToTime(B108)</f>
        <v>0h</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c r="C112" s="152" t="str">
        <f xml:space="preserve"> IF(B112="","",setValueToTime(B112))</f>
        <v/>
      </c>
      <c r="D112" s="50"/>
      <c r="E112" s="234"/>
      <c r="F112" s="235"/>
      <c r="G112" s="51"/>
    </row>
    <row r="113" spans="1:7" s="52" customFormat="1" x14ac:dyDescent="0.3">
      <c r="A113" s="53"/>
      <c r="B113" s="54"/>
      <c r="C113" s="153" t="str">
        <f t="shared" ref="C113:C119" si="9" xml:space="preserve"> IF(B113="","",setValueToTime(B113))</f>
        <v/>
      </c>
      <c r="D113" s="55"/>
      <c r="E113" s="226"/>
      <c r="F113" s="227"/>
      <c r="G113" s="51"/>
    </row>
    <row r="114" spans="1:7" s="52" customFormat="1" x14ac:dyDescent="0.3">
      <c r="A114" s="53"/>
      <c r="B114" s="54"/>
      <c r="C114" s="153" t="str">
        <f t="shared" si="9"/>
        <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62" t="s">
        <v>26</v>
      </c>
      <c r="B120" s="83">
        <f>SUM(B112:B119)</f>
        <v>0</v>
      </c>
      <c r="C120" s="162" t="str">
        <f xml:space="preserve"> setValueToTime(B120)</f>
        <v>0h</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273</v>
      </c>
      <c r="E124" s="234"/>
      <c r="F124" s="235"/>
      <c r="G124" s="51"/>
    </row>
    <row r="125" spans="1:7" s="52" customFormat="1" ht="54" x14ac:dyDescent="0.3">
      <c r="A125" s="53" t="s">
        <v>143</v>
      </c>
      <c r="B125" s="54">
        <v>9</v>
      </c>
      <c r="C125" s="153" t="str">
        <f t="shared" ref="C125:C131" si="10" xml:space="preserve"> IF(B125="","",setValueToTime(B125))</f>
        <v>0h45min</v>
      </c>
      <c r="D125" s="55" t="s">
        <v>274</v>
      </c>
      <c r="E125" s="226"/>
      <c r="F125" s="227"/>
      <c r="G125" s="51"/>
    </row>
    <row r="126" spans="1:7" s="52" customFormat="1" x14ac:dyDescent="0.3">
      <c r="A126" s="53" t="s">
        <v>112</v>
      </c>
      <c r="B126" s="54">
        <v>3</v>
      </c>
      <c r="C126" s="153" t="str">
        <f t="shared" si="10"/>
        <v>0h15min</v>
      </c>
      <c r="D126" s="55" t="s">
        <v>275</v>
      </c>
      <c r="E126" s="226"/>
      <c r="F126" s="227"/>
      <c r="G126" s="51"/>
    </row>
    <row r="127" spans="1:7" s="52" customFormat="1" ht="54" x14ac:dyDescent="0.3">
      <c r="A127" s="53" t="s">
        <v>143</v>
      </c>
      <c r="B127" s="54">
        <v>6</v>
      </c>
      <c r="C127" s="153" t="str">
        <f t="shared" si="10"/>
        <v>0h30min</v>
      </c>
      <c r="D127" s="55" t="s">
        <v>276</v>
      </c>
      <c r="E127" s="226"/>
      <c r="F127" s="227"/>
      <c r="G127" s="51"/>
    </row>
    <row r="128" spans="1:7" s="52" customFormat="1" ht="40.5" x14ac:dyDescent="0.3">
      <c r="A128" s="54" t="s">
        <v>143</v>
      </c>
      <c r="B128" s="54">
        <v>4</v>
      </c>
      <c r="C128" s="154" t="str">
        <f t="shared" si="10"/>
        <v>0h20min</v>
      </c>
      <c r="D128" s="55" t="s">
        <v>277</v>
      </c>
      <c r="E128" s="226"/>
      <c r="F128" s="227"/>
      <c r="G128" s="51"/>
    </row>
    <row r="129" spans="1:7" s="52" customFormat="1" x14ac:dyDescent="0.3">
      <c r="A129" s="54" t="s">
        <v>152</v>
      </c>
      <c r="B129" s="54">
        <v>8</v>
      </c>
      <c r="C129" s="154" t="str">
        <f t="shared" si="10"/>
        <v>0h40min</v>
      </c>
      <c r="D129" s="55" t="s">
        <v>280</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279</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181</v>
      </c>
      <c r="B136" s="49">
        <v>8</v>
      </c>
      <c r="C136" s="152" t="str">
        <f xml:space="preserve"> IF(B136="","",setValueToTime(B136))</f>
        <v>0h40min</v>
      </c>
      <c r="D136" s="50" t="s">
        <v>267</v>
      </c>
      <c r="E136" s="234"/>
      <c r="F136" s="235"/>
      <c r="G136" s="51"/>
    </row>
    <row r="137" spans="1:7" s="52" customFormat="1" ht="40.5" x14ac:dyDescent="0.3">
      <c r="A137" s="53" t="s">
        <v>143</v>
      </c>
      <c r="B137" s="54">
        <v>6</v>
      </c>
      <c r="C137" s="153" t="str">
        <f t="shared" ref="C137:C143" si="11" xml:space="preserve"> IF(B137="","",setValueToTime(B137))</f>
        <v>0h30min</v>
      </c>
      <c r="D137" s="55" t="s">
        <v>268</v>
      </c>
      <c r="E137" s="226"/>
      <c r="F137" s="227"/>
      <c r="G137" s="51"/>
    </row>
    <row r="138" spans="1:7" s="52" customFormat="1" ht="40.5" x14ac:dyDescent="0.3">
      <c r="A138" s="53" t="s">
        <v>143</v>
      </c>
      <c r="B138" s="54">
        <v>8</v>
      </c>
      <c r="C138" s="153" t="str">
        <f t="shared" si="11"/>
        <v>0h40min</v>
      </c>
      <c r="D138" s="55" t="s">
        <v>270</v>
      </c>
      <c r="E138" s="237" t="s">
        <v>269</v>
      </c>
      <c r="F138" s="227"/>
      <c r="G138" s="51"/>
    </row>
    <row r="139" spans="1:7" s="52" customFormat="1" ht="67.5" x14ac:dyDescent="0.3">
      <c r="A139" s="53" t="s">
        <v>143</v>
      </c>
      <c r="B139" s="54">
        <v>10</v>
      </c>
      <c r="C139" s="153" t="str">
        <f t="shared" si="11"/>
        <v>0h50min</v>
      </c>
      <c r="D139" s="55" t="s">
        <v>263</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272</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260</v>
      </c>
      <c r="E148" s="234"/>
      <c r="F148" s="235"/>
      <c r="G148" s="51"/>
    </row>
    <row r="149" spans="1:7" s="52" customFormat="1" ht="27" x14ac:dyDescent="0.3">
      <c r="A149" s="53" t="s">
        <v>142</v>
      </c>
      <c r="B149" s="54">
        <v>2</v>
      </c>
      <c r="C149" s="153" t="str">
        <f t="shared" ref="C149:C156" si="12" xml:space="preserve"> IF(B149="","",setValueToTime(B149))</f>
        <v>0h10min</v>
      </c>
      <c r="D149" s="173" t="s">
        <v>261</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262</v>
      </c>
      <c r="E151" s="226"/>
      <c r="F151" s="227"/>
      <c r="G151" s="51"/>
    </row>
    <row r="152" spans="1:7" s="52" customFormat="1" ht="40.5" x14ac:dyDescent="0.3">
      <c r="A152" s="54" t="s">
        <v>143</v>
      </c>
      <c r="B152" s="54">
        <v>4</v>
      </c>
      <c r="C152" s="154" t="str">
        <f t="shared" si="12"/>
        <v>0h20min</v>
      </c>
      <c r="D152" s="55" t="s">
        <v>271</v>
      </c>
      <c r="E152" s="226"/>
      <c r="F152" s="227"/>
      <c r="G152" s="51"/>
    </row>
    <row r="153" spans="1:7" s="52" customFormat="1" ht="40.5" x14ac:dyDescent="0.3">
      <c r="A153" s="54" t="s">
        <v>143</v>
      </c>
      <c r="B153" s="54">
        <v>6</v>
      </c>
      <c r="C153" s="154" t="str">
        <f t="shared" si="12"/>
        <v>0h30min</v>
      </c>
      <c r="D153" s="55" t="s">
        <v>264</v>
      </c>
      <c r="E153" s="226"/>
      <c r="F153" s="227"/>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2" t="s">
        <v>278</v>
      </c>
      <c r="F157" s="243"/>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256</v>
      </c>
      <c r="E162" s="234"/>
      <c r="F162" s="235"/>
      <c r="G162" s="51"/>
    </row>
    <row r="163" spans="1:7" s="52" customFormat="1" ht="27" x14ac:dyDescent="0.3">
      <c r="A163" s="53" t="s">
        <v>181</v>
      </c>
      <c r="B163" s="54">
        <v>4</v>
      </c>
      <c r="C163" s="153" t="str">
        <f t="shared" ref="C163:C169" si="13" xml:space="preserve"> IF(B163="","",setValueToTime(B163))</f>
        <v>0h20min</v>
      </c>
      <c r="D163" s="55" t="s">
        <v>259</v>
      </c>
      <c r="E163" s="226"/>
      <c r="F163" s="227"/>
      <c r="G163" s="51"/>
    </row>
    <row r="164" spans="1:7" s="52" customFormat="1" ht="40.5" x14ac:dyDescent="0.3">
      <c r="A164" s="53" t="s">
        <v>152</v>
      </c>
      <c r="B164" s="54">
        <v>24</v>
      </c>
      <c r="C164" s="153" t="str">
        <f t="shared" si="13"/>
        <v>2h</v>
      </c>
      <c r="D164" s="55" t="s">
        <v>257</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258</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248</v>
      </c>
      <c r="E174" s="234"/>
      <c r="F174" s="235"/>
      <c r="G174" s="51"/>
    </row>
    <row r="175" spans="1:7" s="52" customFormat="1" ht="27" x14ac:dyDescent="0.3">
      <c r="A175" s="53" t="s">
        <v>156</v>
      </c>
      <c r="B175" s="54">
        <v>3</v>
      </c>
      <c r="C175" s="153" t="str">
        <f t="shared" ref="C175:C181" si="14" xml:space="preserve"> IF(B175="","",setValueToTime(B175))</f>
        <v>0h15min</v>
      </c>
      <c r="D175" s="55" t="s">
        <v>249</v>
      </c>
      <c r="E175" s="226"/>
      <c r="F175" s="227"/>
      <c r="G175" s="51"/>
    </row>
    <row r="176" spans="1:7" s="52" customFormat="1" ht="27" x14ac:dyDescent="0.3">
      <c r="A176" s="53" t="s">
        <v>124</v>
      </c>
      <c r="B176" s="54">
        <v>12</v>
      </c>
      <c r="C176" s="153" t="str">
        <f t="shared" si="14"/>
        <v>1h</v>
      </c>
      <c r="D176" s="55" t="s">
        <v>250</v>
      </c>
      <c r="E176" s="226"/>
      <c r="F176" s="227"/>
      <c r="G176" s="51"/>
    </row>
    <row r="177" spans="1:7" s="52" customFormat="1" ht="54" x14ac:dyDescent="0.3">
      <c r="A177" s="53" t="s">
        <v>116</v>
      </c>
      <c r="B177" s="54">
        <v>18</v>
      </c>
      <c r="C177" s="153" t="str">
        <f t="shared" si="14"/>
        <v>1h30min</v>
      </c>
      <c r="D177" s="55" t="s">
        <v>251</v>
      </c>
      <c r="E177" s="226"/>
      <c r="F177" s="227"/>
      <c r="G177" s="51"/>
    </row>
    <row r="178" spans="1:7" s="52" customFormat="1" ht="40.5" x14ac:dyDescent="0.3">
      <c r="A178" s="54" t="s">
        <v>152</v>
      </c>
      <c r="B178" s="54">
        <v>1</v>
      </c>
      <c r="C178" s="154" t="str">
        <f t="shared" si="14"/>
        <v>0h5min</v>
      </c>
      <c r="D178" s="55" t="s">
        <v>252</v>
      </c>
      <c r="E178" s="226"/>
      <c r="F178" s="227"/>
      <c r="G178" s="51"/>
    </row>
    <row r="179" spans="1:7" s="52" customFormat="1" ht="40.5" x14ac:dyDescent="0.3">
      <c r="A179" s="54" t="s">
        <v>152</v>
      </c>
      <c r="B179" s="54">
        <v>2</v>
      </c>
      <c r="C179" s="154" t="str">
        <f t="shared" si="14"/>
        <v>0h10min</v>
      </c>
      <c r="D179" s="55" t="s">
        <v>253</v>
      </c>
      <c r="E179" s="226"/>
      <c r="F179" s="227"/>
      <c r="G179" s="51"/>
    </row>
    <row r="180" spans="1:7" s="52" customFormat="1" x14ac:dyDescent="0.3">
      <c r="A180" s="54" t="s">
        <v>129</v>
      </c>
      <c r="B180" s="54">
        <v>7</v>
      </c>
      <c r="C180" s="154" t="str">
        <f t="shared" si="14"/>
        <v>0h35min</v>
      </c>
      <c r="D180" s="55" t="s">
        <v>254</v>
      </c>
      <c r="E180" s="226"/>
      <c r="F180" s="227"/>
      <c r="G180" s="51"/>
    </row>
    <row r="181" spans="1:7" s="52" customFormat="1" ht="141" customHeight="1" thickBot="1" x14ac:dyDescent="0.35">
      <c r="A181" s="56" t="s">
        <v>14</v>
      </c>
      <c r="B181" s="56">
        <v>2</v>
      </c>
      <c r="C181" s="155" t="str">
        <f t="shared" si="14"/>
        <v>0h10min</v>
      </c>
      <c r="D181" s="57"/>
      <c r="E181" s="228" t="s">
        <v>255</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240</v>
      </c>
      <c r="E186" s="234"/>
      <c r="F186" s="235"/>
      <c r="G186" s="51"/>
    </row>
    <row r="187" spans="1:7" s="52" customFormat="1" ht="27" x14ac:dyDescent="0.3">
      <c r="A187" s="53" t="s">
        <v>117</v>
      </c>
      <c r="B187" s="54">
        <v>4</v>
      </c>
      <c r="C187" s="153" t="str">
        <f t="shared" ref="C187:C193" si="15" xml:space="preserve"> IF(B187="","",setValueToTime(B187))</f>
        <v>0h20min</v>
      </c>
      <c r="D187" s="55" t="s">
        <v>241</v>
      </c>
      <c r="E187" s="226"/>
      <c r="F187" s="227"/>
      <c r="G187" s="51"/>
    </row>
    <row r="188" spans="1:7" s="52" customFormat="1" x14ac:dyDescent="0.3">
      <c r="A188" s="53" t="s">
        <v>181</v>
      </c>
      <c r="B188" s="54">
        <v>2</v>
      </c>
      <c r="C188" s="153" t="str">
        <f t="shared" si="15"/>
        <v>0h10min</v>
      </c>
      <c r="D188" s="55" t="s">
        <v>242</v>
      </c>
      <c r="E188" s="226"/>
      <c r="F188" s="227"/>
      <c r="G188" s="51"/>
    </row>
    <row r="189" spans="1:7" s="52" customFormat="1" ht="27" x14ac:dyDescent="0.3">
      <c r="A189" s="53" t="s">
        <v>117</v>
      </c>
      <c r="B189" s="54">
        <v>4</v>
      </c>
      <c r="C189" s="153" t="str">
        <f t="shared" si="15"/>
        <v>0h20min</v>
      </c>
      <c r="D189" s="55" t="s">
        <v>243</v>
      </c>
      <c r="E189" s="226"/>
      <c r="F189" s="227"/>
      <c r="G189" s="51"/>
    </row>
    <row r="190" spans="1:7" s="52" customFormat="1" ht="27" x14ac:dyDescent="0.3">
      <c r="A190" s="54" t="s">
        <v>117</v>
      </c>
      <c r="B190" s="54">
        <v>6</v>
      </c>
      <c r="C190" s="154" t="str">
        <f t="shared" si="15"/>
        <v>0h30min</v>
      </c>
      <c r="D190" s="55" t="s">
        <v>244</v>
      </c>
      <c r="E190" s="226"/>
      <c r="F190" s="227"/>
      <c r="G190" s="51"/>
    </row>
    <row r="191" spans="1:7" s="52" customFormat="1" ht="27" x14ac:dyDescent="0.3">
      <c r="A191" s="54" t="s">
        <v>156</v>
      </c>
      <c r="B191" s="54">
        <v>2</v>
      </c>
      <c r="C191" s="154" t="str">
        <f t="shared" si="15"/>
        <v>0h10min</v>
      </c>
      <c r="D191" s="55" t="s">
        <v>245</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246</v>
      </c>
      <c r="E193" s="228" t="s">
        <v>247</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232</v>
      </c>
      <c r="E198" s="234"/>
      <c r="F198" s="235"/>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233</v>
      </c>
      <c r="E200" s="226"/>
      <c r="F200" s="227"/>
      <c r="G200" s="51"/>
    </row>
    <row r="201" spans="1:7" s="52" customFormat="1" ht="27" x14ac:dyDescent="0.3">
      <c r="A201" s="53" t="s">
        <v>117</v>
      </c>
      <c r="B201" s="54">
        <v>5</v>
      </c>
      <c r="C201" s="153" t="str">
        <f t="shared" si="16"/>
        <v>0h25min</v>
      </c>
      <c r="D201" s="55" t="s">
        <v>234</v>
      </c>
      <c r="E201" s="226"/>
      <c r="F201" s="227"/>
      <c r="G201" s="51"/>
    </row>
    <row r="202" spans="1:7" s="52" customFormat="1" ht="27" x14ac:dyDescent="0.3">
      <c r="A202" s="54" t="s">
        <v>117</v>
      </c>
      <c r="B202" s="54">
        <v>3</v>
      </c>
      <c r="C202" s="154" t="str">
        <f t="shared" si="16"/>
        <v>0h15min</v>
      </c>
      <c r="D202" s="55" t="s">
        <v>235</v>
      </c>
      <c r="E202" s="226"/>
      <c r="F202" s="227"/>
      <c r="G202" s="51"/>
    </row>
    <row r="203" spans="1:7" s="52" customFormat="1" ht="27" x14ac:dyDescent="0.3">
      <c r="A203" s="54" t="s">
        <v>117</v>
      </c>
      <c r="B203" s="54">
        <v>6</v>
      </c>
      <c r="C203" s="154" t="str">
        <f t="shared" si="16"/>
        <v>0h30min</v>
      </c>
      <c r="D203" s="55" t="s">
        <v>236</v>
      </c>
      <c r="E203" s="226"/>
      <c r="F203" s="227"/>
      <c r="G203" s="51"/>
    </row>
    <row r="204" spans="1:7" s="52" customFormat="1" ht="27" x14ac:dyDescent="0.3">
      <c r="A204" s="54" t="s">
        <v>117</v>
      </c>
      <c r="B204" s="54">
        <v>2</v>
      </c>
      <c r="C204" s="154" t="str">
        <f t="shared" si="16"/>
        <v>0h10min</v>
      </c>
      <c r="D204" s="55" t="s">
        <v>238</v>
      </c>
      <c r="E204" s="226"/>
      <c r="F204" s="227"/>
      <c r="G204" s="51"/>
    </row>
    <row r="205" spans="1:7" s="52" customFormat="1" ht="108.75" customHeight="1" thickBot="1" x14ac:dyDescent="0.35">
      <c r="A205" s="56" t="s">
        <v>172</v>
      </c>
      <c r="B205" s="56">
        <v>2</v>
      </c>
      <c r="C205" s="155" t="str">
        <f t="shared" si="16"/>
        <v>0h10min</v>
      </c>
      <c r="D205" s="57" t="s">
        <v>237</v>
      </c>
      <c r="E205" s="228" t="s">
        <v>239</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225</v>
      </c>
      <c r="E210" s="234"/>
      <c r="F210" s="235"/>
      <c r="G210" s="51"/>
    </row>
    <row r="211" spans="1:7" s="52" customFormat="1" ht="40.5" x14ac:dyDescent="0.3">
      <c r="A211" s="53" t="s">
        <v>13</v>
      </c>
      <c r="B211" s="54">
        <v>26</v>
      </c>
      <c r="C211" s="153" t="str">
        <f t="shared" ref="C211:C217" si="17" xml:space="preserve"> IF(B211="","",setValueToTime(B211))</f>
        <v>2h10min</v>
      </c>
      <c r="D211" s="55" t="s">
        <v>229</v>
      </c>
      <c r="E211" s="226"/>
      <c r="F211" s="227"/>
      <c r="G211" s="51"/>
    </row>
    <row r="212" spans="1:7" s="52" customFormat="1" ht="27" x14ac:dyDescent="0.3">
      <c r="A212" s="53" t="s">
        <v>113</v>
      </c>
      <c r="B212" s="54">
        <v>6</v>
      </c>
      <c r="C212" s="153" t="str">
        <f t="shared" si="17"/>
        <v>0h30min</v>
      </c>
      <c r="D212" s="55" t="s">
        <v>226</v>
      </c>
      <c r="E212" s="237" t="s">
        <v>230</v>
      </c>
      <c r="F212" s="227"/>
      <c r="G212" s="51"/>
    </row>
    <row r="213" spans="1:7" s="52" customFormat="1" ht="27" x14ac:dyDescent="0.3">
      <c r="A213" s="53" t="s">
        <v>94</v>
      </c>
      <c r="B213" s="54">
        <v>2</v>
      </c>
      <c r="C213" s="153" t="str">
        <f t="shared" si="17"/>
        <v>0h10min</v>
      </c>
      <c r="D213" s="55" t="s">
        <v>228</v>
      </c>
      <c r="E213" s="237" t="s">
        <v>227</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231</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221</v>
      </c>
      <c r="E222" s="234"/>
      <c r="F222" s="235"/>
      <c r="G222" s="51"/>
    </row>
    <row r="223" spans="1:7" s="52" customFormat="1" ht="27" x14ac:dyDescent="0.3">
      <c r="A223" s="53" t="s">
        <v>113</v>
      </c>
      <c r="B223" s="54">
        <v>2</v>
      </c>
      <c r="C223" s="153" t="str">
        <f t="shared" ref="C223:C229" si="18" xml:space="preserve"> IF(B223="","",setValueToTime(B223))</f>
        <v>0h10min</v>
      </c>
      <c r="D223" s="55" t="s">
        <v>220</v>
      </c>
      <c r="E223" s="226"/>
      <c r="F223" s="227"/>
      <c r="G223" s="51"/>
    </row>
    <row r="224" spans="1:7" s="52" customFormat="1" ht="27" x14ac:dyDescent="0.3">
      <c r="A224" s="53" t="s">
        <v>135</v>
      </c>
      <c r="B224" s="54">
        <v>6</v>
      </c>
      <c r="C224" s="153" t="str">
        <f t="shared" si="18"/>
        <v>0h30min</v>
      </c>
      <c r="D224" s="55" t="s">
        <v>222</v>
      </c>
      <c r="E224" s="226"/>
      <c r="F224" s="227"/>
      <c r="G224" s="51"/>
    </row>
    <row r="225" spans="1:7" s="52" customFormat="1" ht="40.5" x14ac:dyDescent="0.3">
      <c r="A225" s="53" t="s">
        <v>117</v>
      </c>
      <c r="B225" s="54">
        <v>10</v>
      </c>
      <c r="C225" s="153" t="str">
        <f t="shared" si="18"/>
        <v>0h50min</v>
      </c>
      <c r="D225" s="55" t="s">
        <v>223</v>
      </c>
      <c r="E225" s="226"/>
      <c r="F225" s="227"/>
      <c r="G225" s="51"/>
    </row>
    <row r="226" spans="1:7" s="52" customFormat="1" ht="108" x14ac:dyDescent="0.3">
      <c r="A226" s="54" t="s">
        <v>156</v>
      </c>
      <c r="B226" s="54">
        <v>6</v>
      </c>
      <c r="C226" s="154" t="str">
        <f t="shared" si="18"/>
        <v>0h30min</v>
      </c>
      <c r="D226" s="55" t="s">
        <v>219</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224</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212</v>
      </c>
      <c r="E234" s="234"/>
      <c r="F234" s="235"/>
      <c r="G234" s="51"/>
    </row>
    <row r="235" spans="1:7" s="52" customFormat="1" ht="43.5" customHeight="1" x14ac:dyDescent="0.3">
      <c r="A235" s="53" t="s">
        <v>172</v>
      </c>
      <c r="B235" s="54">
        <v>9</v>
      </c>
      <c r="C235" s="153" t="str">
        <f t="shared" ref="C235:C241" si="19" xml:space="preserve"> IF(B235="","",setValueToTime(B235))</f>
        <v>0h45min</v>
      </c>
      <c r="D235" s="55" t="s">
        <v>213</v>
      </c>
      <c r="E235" s="226" t="s">
        <v>214</v>
      </c>
      <c r="F235" s="227"/>
      <c r="G235" s="51"/>
    </row>
    <row r="236" spans="1:7" s="52" customFormat="1" x14ac:dyDescent="0.3">
      <c r="A236" s="53" t="s">
        <v>112</v>
      </c>
      <c r="B236" s="54">
        <v>6</v>
      </c>
      <c r="C236" s="153" t="str">
        <f t="shared" si="19"/>
        <v>0h30min</v>
      </c>
      <c r="D236" s="55" t="s">
        <v>216</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181</v>
      </c>
      <c r="B239" s="54">
        <v>8</v>
      </c>
      <c r="C239" s="154" t="str">
        <f t="shared" si="19"/>
        <v>0h40min</v>
      </c>
      <c r="D239" s="55" t="s">
        <v>217</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218</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206</v>
      </c>
      <c r="E246" s="234"/>
      <c r="F246" s="235"/>
      <c r="G246" s="51"/>
    </row>
    <row r="247" spans="1:7" s="52" customFormat="1" ht="27" x14ac:dyDescent="0.3">
      <c r="A247" s="53" t="s">
        <v>152</v>
      </c>
      <c r="B247" s="54">
        <v>1</v>
      </c>
      <c r="C247" s="153" t="str">
        <f xml:space="preserve"> IF(B247="","",setValueToTime(B247))</f>
        <v>0h5min</v>
      </c>
      <c r="D247" s="55" t="s">
        <v>207</v>
      </c>
      <c r="E247" s="226"/>
      <c r="F247" s="227"/>
      <c r="G247" s="51"/>
    </row>
    <row r="248" spans="1:7" s="52" customFormat="1" ht="27" x14ac:dyDescent="0.3">
      <c r="A248" s="53" t="s">
        <v>14</v>
      </c>
      <c r="B248" s="54">
        <v>2</v>
      </c>
      <c r="C248" s="153" t="str">
        <f t="shared" ref="C248:C253" si="20" xml:space="preserve"> IF(B248="","",setValueToTime(B248))</f>
        <v>0h10min</v>
      </c>
      <c r="D248" s="55" t="s">
        <v>197</v>
      </c>
      <c r="E248" s="226"/>
      <c r="F248" s="227"/>
      <c r="G248" s="51"/>
    </row>
    <row r="249" spans="1:7" s="52" customFormat="1" x14ac:dyDescent="0.3">
      <c r="A249" s="53" t="s">
        <v>13</v>
      </c>
      <c r="B249" s="54">
        <v>5</v>
      </c>
      <c r="C249" s="153" t="str">
        <f t="shared" si="20"/>
        <v>0h25min</v>
      </c>
      <c r="D249" s="55" t="s">
        <v>208</v>
      </c>
      <c r="E249" s="226"/>
      <c r="F249" s="227"/>
      <c r="G249" s="51"/>
    </row>
    <row r="250" spans="1:7" s="52" customFormat="1" x14ac:dyDescent="0.3">
      <c r="A250" s="54" t="s">
        <v>112</v>
      </c>
      <c r="B250" s="54">
        <v>6</v>
      </c>
      <c r="C250" s="154" t="str">
        <f t="shared" si="20"/>
        <v>0h30min</v>
      </c>
      <c r="D250" s="55" t="s">
        <v>209</v>
      </c>
      <c r="E250" s="226"/>
      <c r="F250" s="227"/>
      <c r="G250" s="51"/>
    </row>
    <row r="251" spans="1:7" s="52" customFormat="1" x14ac:dyDescent="0.3">
      <c r="A251" s="54" t="s">
        <v>112</v>
      </c>
      <c r="B251" s="54">
        <v>6</v>
      </c>
      <c r="C251" s="154" t="str">
        <f t="shared" si="20"/>
        <v>0h30min</v>
      </c>
      <c r="D251" s="55" t="s">
        <v>210</v>
      </c>
      <c r="E251" s="226"/>
      <c r="F251" s="227"/>
      <c r="G251" s="51"/>
    </row>
    <row r="252" spans="1:7" s="52" customFormat="1" x14ac:dyDescent="0.3">
      <c r="A252" s="54" t="s">
        <v>112</v>
      </c>
      <c r="B252" s="54">
        <v>6</v>
      </c>
      <c r="C252" s="154" t="str">
        <f t="shared" si="20"/>
        <v>0h30min</v>
      </c>
      <c r="D252" s="55" t="s">
        <v>211</v>
      </c>
      <c r="E252" s="226"/>
      <c r="F252" s="227"/>
      <c r="G252" s="51"/>
    </row>
    <row r="253" spans="1:7" s="52" customFormat="1" ht="123" customHeight="1" thickBot="1" x14ac:dyDescent="0.35">
      <c r="A253" s="56"/>
      <c r="B253" s="56"/>
      <c r="C253" s="155" t="str">
        <f t="shared" si="20"/>
        <v/>
      </c>
      <c r="D253" s="57"/>
      <c r="E253" s="228" t="s">
        <v>215</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200</v>
      </c>
      <c r="E258" s="236"/>
      <c r="F258" s="244"/>
      <c r="G258" s="51"/>
    </row>
    <row r="259" spans="1:7" s="52" customFormat="1" ht="27" x14ac:dyDescent="0.3">
      <c r="A259" s="53" t="s">
        <v>14</v>
      </c>
      <c r="B259" s="54">
        <v>3</v>
      </c>
      <c r="C259" s="153" t="str">
        <f t="shared" ref="C259:C265" si="21" xml:space="preserve"> IF(B259="","",setValueToTime(B259))</f>
        <v>0h15min</v>
      </c>
      <c r="D259" s="55" t="s">
        <v>197</v>
      </c>
      <c r="E259" s="226"/>
      <c r="F259" s="227"/>
      <c r="G259" s="51"/>
    </row>
    <row r="260" spans="1:7" s="52" customFormat="1" x14ac:dyDescent="0.3">
      <c r="A260" s="53" t="s">
        <v>112</v>
      </c>
      <c r="B260" s="54">
        <v>6</v>
      </c>
      <c r="C260" s="153" t="str">
        <f t="shared" si="21"/>
        <v>0h30min</v>
      </c>
      <c r="D260" s="55" t="s">
        <v>204</v>
      </c>
      <c r="E260" s="226"/>
      <c r="F260" s="227"/>
      <c r="G260" s="51"/>
    </row>
    <row r="261" spans="1:7" s="52" customFormat="1" x14ac:dyDescent="0.3">
      <c r="A261" s="53" t="s">
        <v>112</v>
      </c>
      <c r="B261" s="54">
        <v>4</v>
      </c>
      <c r="C261" s="153" t="str">
        <f t="shared" si="21"/>
        <v>0h20min</v>
      </c>
      <c r="D261" s="55" t="s">
        <v>203</v>
      </c>
      <c r="E261" s="226"/>
      <c r="F261" s="227"/>
      <c r="G261" s="51"/>
    </row>
    <row r="262" spans="1:7" s="52" customFormat="1" ht="27" x14ac:dyDescent="0.3">
      <c r="A262" s="54" t="s">
        <v>172</v>
      </c>
      <c r="B262" s="54">
        <v>2</v>
      </c>
      <c r="C262" s="154" t="str">
        <f t="shared" si="21"/>
        <v>0h10min</v>
      </c>
      <c r="D262" s="55" t="s">
        <v>205</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202</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201</v>
      </c>
      <c r="E270" s="234" t="s">
        <v>195</v>
      </c>
      <c r="F270" s="235"/>
      <c r="G270" s="51"/>
    </row>
    <row r="271" spans="1:7" s="52" customFormat="1" x14ac:dyDescent="0.3">
      <c r="A271" s="53" t="s">
        <v>112</v>
      </c>
      <c r="B271" s="54">
        <v>18</v>
      </c>
      <c r="C271" s="153" t="str">
        <f t="shared" ref="C271:C277" si="22" xml:space="preserve"> IF(B271="","",setValueToTime(B271))</f>
        <v>1h30min</v>
      </c>
      <c r="D271" s="55" t="s">
        <v>198</v>
      </c>
      <c r="E271" s="226"/>
      <c r="F271" s="227"/>
      <c r="G271" s="51"/>
    </row>
    <row r="272" spans="1:7" s="52" customFormat="1" x14ac:dyDescent="0.3">
      <c r="A272" s="53" t="s">
        <v>13</v>
      </c>
      <c r="B272" s="54">
        <v>6</v>
      </c>
      <c r="C272" s="153" t="str">
        <f t="shared" si="22"/>
        <v>0h30min</v>
      </c>
      <c r="D272" s="55" t="s">
        <v>199</v>
      </c>
      <c r="E272" s="237"/>
      <c r="F272" s="245"/>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196</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5</v>
      </c>
      <c r="C282" s="152" t="str">
        <f xml:space="preserve"> IF(B282="","",setValueToTime(B282))</f>
        <v>0h25min</v>
      </c>
      <c r="D282" s="50" t="s">
        <v>191</v>
      </c>
      <c r="E282" s="234"/>
      <c r="F282" s="235"/>
      <c r="G282" s="51"/>
    </row>
    <row r="283" spans="1:7" s="52" customFormat="1" ht="27" x14ac:dyDescent="0.3">
      <c r="A283" s="53" t="s">
        <v>97</v>
      </c>
      <c r="B283" s="54">
        <v>16</v>
      </c>
      <c r="C283" s="153" t="str">
        <f xml:space="preserve"> IF(B283="","",setValueToTime(B283))</f>
        <v>1h20min</v>
      </c>
      <c r="D283" s="55" t="s">
        <v>193</v>
      </c>
      <c r="E283" s="226"/>
      <c r="F283" s="227"/>
      <c r="G283" s="51"/>
    </row>
    <row r="284" spans="1:7" s="52" customFormat="1" ht="27" x14ac:dyDescent="0.3">
      <c r="A284" s="53" t="s">
        <v>13</v>
      </c>
      <c r="B284" s="54">
        <v>14</v>
      </c>
      <c r="C284" s="153" t="str">
        <f t="shared" ref="C284:C289" si="23" xml:space="preserve"> IF(B284="","",setValueToTime(B284))</f>
        <v>1h10min</v>
      </c>
      <c r="D284" s="55" t="s">
        <v>194</v>
      </c>
      <c r="E284" s="237"/>
      <c r="F284" s="245"/>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192</v>
      </c>
      <c r="F289" s="229"/>
      <c r="G289" s="51"/>
    </row>
    <row r="290" spans="1:7" s="52" customFormat="1" ht="15" thickBot="1" x14ac:dyDescent="0.35">
      <c r="A290" s="162" t="s">
        <v>26</v>
      </c>
      <c r="B290" s="83">
        <f>SUM(B282:B289)</f>
        <v>37</v>
      </c>
      <c r="C290" s="162" t="str">
        <f xml:space="preserve"> setValueToTime(B290)</f>
        <v>3h5min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181</v>
      </c>
      <c r="B294" s="49">
        <v>1</v>
      </c>
      <c r="C294" s="152" t="str">
        <f xml:space="preserve"> IF(B294="","",setValueToTime(B294))</f>
        <v>0h5min</v>
      </c>
      <c r="D294" s="50" t="s">
        <v>184</v>
      </c>
      <c r="E294" s="234" t="s">
        <v>185</v>
      </c>
      <c r="F294" s="235"/>
      <c r="G294" s="51"/>
    </row>
    <row r="295" spans="1:7" s="52" customFormat="1" x14ac:dyDescent="0.3">
      <c r="A295" s="53" t="s">
        <v>13</v>
      </c>
      <c r="B295" s="54">
        <v>25</v>
      </c>
      <c r="C295" s="153" t="str">
        <f t="shared" ref="C295:C301" si="24" xml:space="preserve"> IF(B295="","",setValueToTime(B295))</f>
        <v>2h5min</v>
      </c>
      <c r="D295" s="55" t="s">
        <v>187</v>
      </c>
      <c r="E295" s="237"/>
      <c r="F295" s="245"/>
      <c r="G295" s="51"/>
    </row>
    <row r="296" spans="1:7" s="52" customFormat="1" ht="27" x14ac:dyDescent="0.3">
      <c r="A296" s="53" t="s">
        <v>94</v>
      </c>
      <c r="B296" s="54">
        <v>8</v>
      </c>
      <c r="C296" s="153" t="str">
        <f t="shared" si="24"/>
        <v>0h40min</v>
      </c>
      <c r="D296" s="55" t="s">
        <v>188</v>
      </c>
      <c r="E296" s="226"/>
      <c r="F296" s="227"/>
      <c r="G296" s="51"/>
    </row>
    <row r="297" spans="1:7" s="52" customFormat="1" ht="27" x14ac:dyDescent="0.3">
      <c r="A297" s="53" t="s">
        <v>14</v>
      </c>
      <c r="B297" s="54">
        <v>2</v>
      </c>
      <c r="C297" s="153" t="str">
        <f t="shared" si="24"/>
        <v>0h10min</v>
      </c>
      <c r="D297" s="55" t="s">
        <v>190</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189</v>
      </c>
      <c r="F301" s="229"/>
      <c r="G301" s="51"/>
    </row>
    <row r="302" spans="1:7" s="52" customFormat="1" ht="15" thickBot="1" x14ac:dyDescent="0.35">
      <c r="A302" s="162" t="s">
        <v>26</v>
      </c>
      <c r="B302" s="83">
        <f>SUM(B294:B301)</f>
        <v>36</v>
      </c>
      <c r="C302" s="162" t="str">
        <f xml:space="preserve"> setValueToTime(B302)</f>
        <v>3h</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179</v>
      </c>
      <c r="E306" s="236" t="s">
        <v>180</v>
      </c>
      <c r="F306" s="235"/>
      <c r="G306" s="51"/>
    </row>
    <row r="307" spans="1:7" s="52" customFormat="1" ht="27" x14ac:dyDescent="0.3">
      <c r="A307" s="53" t="s">
        <v>181</v>
      </c>
      <c r="B307" s="54">
        <v>1</v>
      </c>
      <c r="C307" s="153" t="str">
        <f t="shared" ref="C307:C313" si="25" xml:space="preserve"> IF(B307="","",setValueToTime(B307))</f>
        <v>0h5min</v>
      </c>
      <c r="D307" s="55" t="s">
        <v>182</v>
      </c>
      <c r="E307" s="226"/>
      <c r="F307" s="227"/>
      <c r="G307" s="51"/>
    </row>
    <row r="308" spans="1:7" s="52" customFormat="1" x14ac:dyDescent="0.3">
      <c r="A308" s="53" t="s">
        <v>13</v>
      </c>
      <c r="B308" s="54">
        <v>9</v>
      </c>
      <c r="C308" s="153" t="str">
        <f t="shared" si="25"/>
        <v>0h45min</v>
      </c>
      <c r="D308" s="55" t="s">
        <v>186</v>
      </c>
      <c r="E308" s="237"/>
      <c r="F308" s="245"/>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183</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7"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178</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4"/>
      <c r="F330" s="235"/>
      <c r="G330" s="51"/>
    </row>
    <row r="331" spans="1:7" s="52" customFormat="1" ht="27" x14ac:dyDescent="0.3">
      <c r="A331" s="53" t="s">
        <v>29</v>
      </c>
      <c r="B331" s="54">
        <v>28</v>
      </c>
      <c r="C331" s="153" t="str">
        <f t="shared" ref="C331" si="28" xml:space="preserve"> IF(B331="","",setValueToTime(B331))</f>
        <v>2h20min</v>
      </c>
      <c r="D331" s="55" t="s">
        <v>90</v>
      </c>
      <c r="E331" s="237" t="s">
        <v>91</v>
      </c>
      <c r="F331" s="227"/>
      <c r="G331" s="51"/>
    </row>
    <row r="332" spans="1:7" s="52" customFormat="1" ht="43.5" customHeight="1" x14ac:dyDescent="0.3">
      <c r="A332" s="53"/>
      <c r="B332" s="54"/>
      <c r="C332" s="153" t="str">
        <f t="shared" ref="C332:C337" si="29" xml:space="preserve"> IF(B332="","",setValueToTime(B332))</f>
        <v/>
      </c>
      <c r="D332" s="55"/>
      <c r="E332" s="226" t="s">
        <v>177</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s>
  <printOptions horizontalCentered="1" verticalCentered="1"/>
  <pageMargins left="0.25" right="0.25" top="0.75" bottom="0.75" header="0.3" footer="0.3"/>
  <pageSetup paperSize="9" scale="34" fitToHeight="4" orientation="portrait" r:id="rId7"/>
  <headerFooter alignWithMargins="0">
    <oddHeader>&amp;L&amp;"ETML,Normal"&amp;14ETML&amp;R&amp;14&amp;USection Informatique</oddHeader>
    <oddFooter>&amp;L&amp;14&amp;D - GGZ&amp;C&amp;14&amp;F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90"/>
    </row>
    <row r="11" spans="1:61" ht="18" x14ac:dyDescent="0.25">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90"/>
    </row>
    <row r="12" spans="1:61" ht="18.75" thickBot="1" x14ac:dyDescent="0.3">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90"/>
    </row>
    <row r="13" spans="1:61" ht="18.75" thickBot="1" x14ac:dyDescent="0.3">
      <c r="A13" s="197" t="s">
        <v>9</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90"/>
    </row>
    <row r="14" spans="1:61" ht="15.75" thickBot="1" x14ac:dyDescent="0.35">
      <c r="A14" s="103"/>
      <c r="B14" s="104"/>
      <c r="C14" s="104"/>
      <c r="D14" s="104"/>
      <c r="E14" s="200" t="s">
        <v>33</v>
      </c>
      <c r="F14" s="200"/>
      <c r="G14" s="200"/>
      <c r="H14" s="200"/>
      <c r="I14" s="104"/>
      <c r="J14" s="104"/>
      <c r="K14" s="201" t="s">
        <v>21</v>
      </c>
      <c r="L14" s="201"/>
      <c r="M14" s="201"/>
      <c r="N14" s="201"/>
      <c r="O14" s="129"/>
      <c r="P14" s="129"/>
      <c r="Q14" s="200" t="s">
        <v>34</v>
      </c>
      <c r="R14" s="200"/>
      <c r="S14" s="200"/>
      <c r="T14" s="200"/>
      <c r="U14" s="104"/>
      <c r="V14" s="104"/>
      <c r="W14" s="201" t="s">
        <v>22</v>
      </c>
      <c r="X14" s="201"/>
      <c r="Y14" s="201"/>
      <c r="Z14" s="201"/>
      <c r="AA14" s="129"/>
      <c r="AB14" s="129"/>
      <c r="AC14" s="200" t="s">
        <v>35</v>
      </c>
      <c r="AD14" s="200"/>
      <c r="AE14" s="200"/>
      <c r="AF14" s="200"/>
      <c r="AG14" s="104"/>
      <c r="AH14" s="104"/>
      <c r="AI14" s="201" t="s">
        <v>23</v>
      </c>
      <c r="AJ14" s="201"/>
      <c r="AK14" s="201"/>
      <c r="AL14" s="201"/>
      <c r="AM14" s="129"/>
      <c r="AN14" s="129"/>
      <c r="AO14" s="200" t="s">
        <v>36</v>
      </c>
      <c r="AP14" s="200"/>
      <c r="AQ14" s="200"/>
      <c r="AR14" s="200"/>
      <c r="AS14" s="104"/>
      <c r="AT14" s="104"/>
      <c r="AU14" s="201" t="s">
        <v>24</v>
      </c>
      <c r="AV14" s="201"/>
      <c r="AW14" s="201"/>
      <c r="AX14" s="201"/>
      <c r="AY14" s="129"/>
      <c r="AZ14" s="129"/>
      <c r="BA14" s="200" t="s">
        <v>37</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2023-05-30T11:15:14Z</cp:lastPrinted>
  <dcterms:created xsi:type="dcterms:W3CDTF">1996-10-21T11:03:58Z</dcterms:created>
  <dcterms:modified xsi:type="dcterms:W3CDTF">2023-05-30T14:24:48Z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